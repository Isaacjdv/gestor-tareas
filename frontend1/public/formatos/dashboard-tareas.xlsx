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13_ncr:1_{E083901E-170D-4BC1-8C37-936ECFCCD773}" xr6:coauthVersionLast="36" xr6:coauthVersionMax="36" xr10:uidLastSave="{00000000-0000-0000-0000-000000000000}"/>
  <bookViews>
    <workbookView xWindow="0" yWindow="0" windowWidth="28800" windowHeight="12225" activeTab="2" xr2:uid="{00000000-000D-0000-FFFF-FFFF00000000}"/>
  </bookViews>
  <sheets>
    <sheet name="Datos" sheetId="1" r:id="rId1"/>
    <sheet name="Resumen" sheetId="2" r:id="rId2"/>
    <sheet name="Dashboard" sheetId="3" r:id="rId3"/>
  </sheets>
  <calcPr calcId="191029"/>
</workbook>
</file>

<file path=xl/calcChain.xml><?xml version="1.0" encoding="utf-8"?>
<calcChain xmlns="http://schemas.openxmlformats.org/spreadsheetml/2006/main">
  <c r="D29" i="3" l="1"/>
  <c r="B29" i="3"/>
  <c r="D28" i="3"/>
  <c r="B28" i="3"/>
  <c r="D27" i="3"/>
  <c r="C27" i="3"/>
  <c r="B27" i="3"/>
  <c r="D26" i="3"/>
  <c r="B26" i="3"/>
  <c r="D25" i="3"/>
  <c r="B25" i="3"/>
  <c r="D24" i="3"/>
  <c r="B24" i="3"/>
  <c r="N8" i="3"/>
  <c r="J8" i="3"/>
  <c r="B8" i="3"/>
  <c r="B7" i="2"/>
  <c r="B6" i="2"/>
  <c r="C26" i="3" s="1"/>
  <c r="B5" i="2"/>
  <c r="C25" i="3" s="1"/>
  <c r="B4" i="2"/>
  <c r="B8" i="2" s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9" i="2" s="1"/>
  <c r="B15" i="3" l="1"/>
  <c r="C28" i="3"/>
  <c r="C29" i="3"/>
  <c r="F15" i="3"/>
  <c r="F8" i="3"/>
  <c r="C24" i="3"/>
</calcChain>
</file>

<file path=xl/sharedStrings.xml><?xml version="1.0" encoding="utf-8"?>
<sst xmlns="http://schemas.openxmlformats.org/spreadsheetml/2006/main" count="42" uniqueCount="32">
  <si>
    <t>ID</t>
  </si>
  <si>
    <t>Título</t>
  </si>
  <si>
    <t>Estado</t>
  </si>
  <si>
    <t>Creado</t>
  </si>
  <si>
    <t>Actualizado</t>
  </si>
  <si>
    <t>Duración_días</t>
  </si>
  <si>
    <t>Resumen de tareas</t>
  </si>
  <si>
    <t>Métrica</t>
  </si>
  <si>
    <t>Valor</t>
  </si>
  <si>
    <t>Descripción</t>
  </si>
  <si>
    <t>Total tareas</t>
  </si>
  <si>
    <t>Conteo de todas las tareas capturadas</t>
  </si>
  <si>
    <t>Pendientes</t>
  </si>
  <si>
    <t>Tareas que aún no han iniciado</t>
  </si>
  <si>
    <t>En proceso</t>
  </si>
  <si>
    <t>Tareas actualmente en ejecución</t>
  </si>
  <si>
    <t>Realizadas</t>
  </si>
  <si>
    <t>Tareas marcadas como 'done'</t>
  </si>
  <si>
    <t>% Completadas</t>
  </si>
  <si>
    <t>Porcentaje de realizadas sobre el total</t>
  </si>
  <si>
    <t>Promedio días para completar</t>
  </si>
  <si>
    <t>Tiempo medio desde creación hasta cierre</t>
  </si>
  <si>
    <t>Nota: este resumen se actualiza automáticamente en función de los datos de la hoja 'Datos'.</t>
  </si>
  <si>
    <t>Dashboard · Tareas</t>
  </si>
  <si>
    <t>Resumen ejecutivo de tareas, estados y tiempos de resolución</t>
  </si>
  <si>
    <t>Fuente: hoja 'Datos' · Ajusta los filtros en la aplicación y vuelve a descargar.</t>
  </si>
  <si>
    <t>Conteo total de registros en la hoja Datos</t>
  </si>
  <si>
    <t>Tareas que aún no han comenzado</t>
  </si>
  <si>
    <t>Tareas marcadas como finalizadas</t>
  </si>
  <si>
    <t>Relaciona tareas 'done' con el total</t>
  </si>
  <si>
    <t>Tiempo medio entre creación y cierre</t>
  </si>
  <si>
    <t>Detalle de 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</si>
</sst>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111827"/>
      <name val="Calibri"/>
    </font>
    <font>
      <b/>
      <sz val="11"/>
      <color rgb="FF1F2933"/>
      <name val="Calibri"/>
    </font>
    <font>
      <sz val="9"/>
      <color rgb="FF4B5563"/>
      <name val="Calibri"/>
    </font>
    <font>
      <i/>
      <sz val="11"/>
      <color rgb="FF6B7280"/>
      <name val="Calibri"/>
    </font>
    <font>
      <b/>
      <sz val="11"/>
      <name val="Calibri"/>
      <family val="2"/>
      <scheme val="minor"/>
    </font>
    <font>
      <b/>
      <sz val="22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b/>
      <sz val="24"/>
      <color theme="3" tint="0.39997558519241921"/>
      <name val="Calibri"/>
      <family val="2"/>
    </font>
    <font>
      <b/>
      <sz val="11"/>
      <color theme="3" tint="0.39997558519241921"/>
      <name val="Calibri"/>
      <family val="2"/>
      <scheme val="minor"/>
    </font>
    <font>
      <b/>
      <sz val="24"/>
      <color theme="5" tint="0.39997558519241921"/>
      <name val="Calibri"/>
      <family val="2"/>
    </font>
    <font>
      <b/>
      <sz val="11"/>
      <color theme="5" tint="0.39997558519241921"/>
      <name val="Calibri"/>
      <family val="2"/>
      <scheme val="minor"/>
    </font>
    <font>
      <b/>
      <sz val="24"/>
      <color rgb="FFFFFF99"/>
      <name val="Calibri"/>
      <family val="2"/>
    </font>
    <font>
      <b/>
      <sz val="11"/>
      <color rgb="FFFFFF99"/>
      <name val="Calibri"/>
      <family val="2"/>
      <scheme val="minor"/>
    </font>
    <font>
      <b/>
      <sz val="24"/>
      <color rgb="FF92D050"/>
      <name val="Calibri"/>
      <family val="2"/>
    </font>
    <font>
      <b/>
      <sz val="11"/>
      <color rgb="FF92D050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rgb="FFCCCC00"/>
      <name val="Calibri"/>
      <family val="2"/>
    </font>
    <font>
      <b/>
      <sz val="10"/>
      <color theme="7"/>
      <name val="Calibri"/>
      <family val="2"/>
    </font>
    <font>
      <b/>
      <sz val="10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/>
      <right/>
      <top style="thin">
        <color rgb="FF1E293B"/>
      </top>
      <bottom/>
      <diagonal/>
    </border>
    <border>
      <left/>
      <right style="thin">
        <color rgb="FF1E293B"/>
      </right>
      <top style="thin">
        <color rgb="FF1E293B"/>
      </top>
      <bottom/>
      <diagonal/>
    </border>
    <border>
      <left/>
      <right/>
      <top style="thin">
        <color rgb="FF1E293B"/>
      </top>
      <bottom style="thin">
        <color rgb="FF1E293B"/>
      </bottom>
      <diagonal/>
    </border>
    <border>
      <left/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1E293B"/>
      </left>
      <right/>
      <top/>
      <bottom/>
      <diagonal/>
    </border>
    <border>
      <left style="thin">
        <color rgb="FF1E293B"/>
      </left>
      <right/>
      <top/>
      <bottom style="thin">
        <color rgb="FF1E293B"/>
      </bottom>
      <diagonal/>
    </border>
    <border>
      <left/>
      <right/>
      <top/>
      <bottom style="thin">
        <color rgb="FF1E293B"/>
      </bottom>
      <diagonal/>
    </border>
    <border>
      <left/>
      <right style="thin">
        <color rgb="FF1E293B"/>
      </right>
      <top/>
      <bottom style="thin">
        <color rgb="FF1E293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/>
      <right style="thin">
        <color indexed="64"/>
      </right>
      <top style="thin">
        <color rgb="FF1E293B"/>
      </top>
      <bottom style="thin">
        <color rgb="FF1E293B"/>
      </bottom>
      <diagonal/>
    </border>
    <border>
      <left/>
      <right style="thin">
        <color indexed="64"/>
      </right>
      <top style="thin">
        <color rgb="FF1E293B"/>
      </top>
      <bottom/>
      <diagonal/>
    </border>
    <border>
      <left style="thin">
        <color indexed="64"/>
      </left>
      <right/>
      <top/>
      <bottom style="thin">
        <color rgb="FF1E293B"/>
      </bottom>
      <diagonal/>
    </border>
    <border>
      <left/>
      <right style="thin">
        <color indexed="64"/>
      </right>
      <top/>
      <bottom style="thin">
        <color rgb="FF1E293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1E293B"/>
      </left>
      <right style="thin">
        <color rgb="FF1E293B"/>
      </right>
      <top/>
      <bottom style="thin">
        <color rgb="FF1E293B"/>
      </bottom>
      <diagonal/>
    </border>
    <border>
      <left style="thin">
        <color rgb="FF1E293B"/>
      </left>
      <right style="thin">
        <color indexed="64"/>
      </right>
      <top/>
      <bottom style="thin">
        <color rgb="FF1E293B"/>
      </bottom>
      <diagonal/>
    </border>
    <border>
      <left style="medium">
        <color indexed="64"/>
      </left>
      <right style="thin">
        <color rgb="FF1E293B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/>
    <xf numFmtId="0" fontId="5" fillId="0" borderId="0" xfId="0" applyFont="1"/>
    <xf numFmtId="0" fontId="6" fillId="2" borderId="0" xfId="0" applyFont="1" applyFill="1"/>
    <xf numFmtId="0" fontId="6" fillId="2" borderId="2" xfId="0" applyFont="1" applyFill="1" applyBorder="1"/>
    <xf numFmtId="0" fontId="11" fillId="3" borderId="2" xfId="0" applyFont="1" applyFill="1" applyBorder="1" applyAlignment="1">
      <alignment horizontal="left" vertical="center"/>
    </xf>
    <xf numFmtId="0" fontId="12" fillId="3" borderId="3" xfId="0" applyFont="1" applyFill="1" applyBorder="1"/>
    <xf numFmtId="0" fontId="12" fillId="3" borderId="4" xfId="0" applyFont="1" applyFill="1" applyBorder="1"/>
    <xf numFmtId="0" fontId="12" fillId="3" borderId="8" xfId="0" applyFont="1" applyFill="1" applyBorder="1"/>
    <xf numFmtId="0" fontId="12" fillId="3" borderId="9" xfId="0" applyFont="1" applyFill="1" applyBorder="1"/>
    <xf numFmtId="0" fontId="12" fillId="3" borderId="10" xfId="0" applyFont="1" applyFill="1" applyBorder="1"/>
    <xf numFmtId="0" fontId="13" fillId="3" borderId="2" xfId="0" applyFont="1" applyFill="1" applyBorder="1" applyAlignment="1">
      <alignment horizontal="left" vertical="center"/>
    </xf>
    <xf numFmtId="0" fontId="14" fillId="3" borderId="3" xfId="0" applyFont="1" applyFill="1" applyBorder="1"/>
    <xf numFmtId="0" fontId="14" fillId="3" borderId="4" xfId="0" applyFont="1" applyFill="1" applyBorder="1"/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10" xfId="0" applyFont="1" applyFill="1" applyBorder="1"/>
    <xf numFmtId="0" fontId="15" fillId="3" borderId="2" xfId="0" applyFont="1" applyFill="1" applyBorder="1" applyAlignment="1">
      <alignment horizontal="left" vertical="center"/>
    </xf>
    <xf numFmtId="0" fontId="16" fillId="3" borderId="3" xfId="0" applyFont="1" applyFill="1" applyBorder="1"/>
    <xf numFmtId="0" fontId="16" fillId="3" borderId="4" xfId="0" applyFont="1" applyFill="1" applyBorder="1"/>
    <xf numFmtId="0" fontId="16" fillId="3" borderId="8" xfId="0" applyFont="1" applyFill="1" applyBorder="1"/>
    <xf numFmtId="0" fontId="16" fillId="3" borderId="9" xfId="0" applyFont="1" applyFill="1" applyBorder="1"/>
    <xf numFmtId="0" fontId="16" fillId="3" borderId="10" xfId="0" applyFont="1" applyFill="1" applyBorder="1"/>
    <xf numFmtId="0" fontId="10" fillId="4" borderId="2" xfId="0" applyFont="1" applyFill="1" applyBorder="1" applyAlignment="1">
      <alignment horizontal="left" vertical="center"/>
    </xf>
    <xf numFmtId="0" fontId="6" fillId="4" borderId="5" xfId="0" applyFont="1" applyFill="1" applyBorder="1"/>
    <xf numFmtId="0" fontId="6" fillId="4" borderId="6" xfId="0" applyFont="1" applyFill="1" applyBorder="1"/>
    <xf numFmtId="0" fontId="17" fillId="3" borderId="2" xfId="0" applyFont="1" applyFill="1" applyBorder="1" applyAlignment="1">
      <alignment horizontal="left" vertical="center"/>
    </xf>
    <xf numFmtId="0" fontId="18" fillId="3" borderId="3" xfId="0" applyFont="1" applyFill="1" applyBorder="1"/>
    <xf numFmtId="0" fontId="18" fillId="3" borderId="4" xfId="0" applyFont="1" applyFill="1" applyBorder="1"/>
    <xf numFmtId="0" fontId="18" fillId="3" borderId="9" xfId="0" applyFont="1" applyFill="1" applyBorder="1"/>
    <xf numFmtId="0" fontId="18" fillId="3" borderId="10" xfId="0" applyFont="1" applyFill="1" applyBorder="1"/>
    <xf numFmtId="0" fontId="7" fillId="6" borderId="12" xfId="0" applyFont="1" applyFill="1" applyBorder="1" applyAlignment="1">
      <alignment horizontal="left" vertical="center"/>
    </xf>
    <xf numFmtId="0" fontId="6" fillId="6" borderId="13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6" fillId="6" borderId="15" xfId="0" applyFont="1" applyFill="1" applyBorder="1"/>
    <xf numFmtId="0" fontId="6" fillId="6" borderId="0" xfId="0" applyFont="1" applyFill="1" applyBorder="1"/>
    <xf numFmtId="0" fontId="6" fillId="2" borderId="0" xfId="0" applyFont="1" applyFill="1" applyBorder="1"/>
    <xf numFmtId="0" fontId="6" fillId="2" borderId="16" xfId="0" applyFont="1" applyFill="1" applyBorder="1"/>
    <xf numFmtId="0" fontId="8" fillId="6" borderId="15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right" vertical="center"/>
    </xf>
    <xf numFmtId="0" fontId="6" fillId="6" borderId="15" xfId="0" applyFont="1" applyFill="1" applyBorder="1"/>
    <xf numFmtId="0" fontId="6" fillId="6" borderId="0" xfId="0" applyFont="1" applyFill="1" applyBorder="1"/>
    <xf numFmtId="0" fontId="10" fillId="4" borderId="17" xfId="0" applyFont="1" applyFill="1" applyBorder="1" applyAlignment="1">
      <alignment horizontal="left" vertical="center"/>
    </xf>
    <xf numFmtId="0" fontId="6" fillId="4" borderId="18" xfId="0" applyFont="1" applyFill="1" applyBorder="1"/>
    <xf numFmtId="0" fontId="11" fillId="3" borderId="17" xfId="0" applyFont="1" applyFill="1" applyBorder="1" applyAlignment="1">
      <alignment horizontal="left" vertical="center"/>
    </xf>
    <xf numFmtId="0" fontId="18" fillId="3" borderId="19" xfId="0" applyFont="1" applyFill="1" applyBorder="1"/>
    <xf numFmtId="0" fontId="12" fillId="3" borderId="20" xfId="0" applyFont="1" applyFill="1" applyBorder="1"/>
    <xf numFmtId="0" fontId="6" fillId="2" borderId="17" xfId="0" applyFont="1" applyFill="1" applyBorder="1"/>
    <xf numFmtId="0" fontId="6" fillId="5" borderId="15" xfId="0" applyFont="1" applyFill="1" applyBorder="1"/>
    <xf numFmtId="0" fontId="6" fillId="5" borderId="0" xfId="0" applyFont="1" applyFill="1" applyBorder="1"/>
    <xf numFmtId="0" fontId="17" fillId="3" borderId="17" xfId="0" applyFont="1" applyFill="1" applyBorder="1" applyAlignment="1">
      <alignment horizontal="left" vertical="center"/>
    </xf>
    <xf numFmtId="0" fontId="18" fillId="3" borderId="20" xfId="0" applyFont="1" applyFill="1" applyBorder="1"/>
    <xf numFmtId="0" fontId="10" fillId="5" borderId="15" xfId="0" applyFont="1" applyFill="1" applyBorder="1"/>
    <xf numFmtId="0" fontId="6" fillId="5" borderId="22" xfId="0" applyFont="1" applyFill="1" applyBorder="1"/>
    <xf numFmtId="0" fontId="6" fillId="5" borderId="23" xfId="0" applyFont="1" applyFill="1" applyBorder="1"/>
    <xf numFmtId="0" fontId="6" fillId="2" borderId="23" xfId="0" applyFont="1" applyFill="1" applyBorder="1"/>
    <xf numFmtId="0" fontId="6" fillId="2" borderId="24" xfId="0" applyFont="1" applyFill="1" applyBorder="1"/>
    <xf numFmtId="0" fontId="6" fillId="5" borderId="24" xfId="0" applyFont="1" applyFill="1" applyBorder="1"/>
    <xf numFmtId="0" fontId="6" fillId="5" borderId="16" xfId="0" applyFont="1" applyFill="1" applyBorder="1"/>
    <xf numFmtId="0" fontId="6" fillId="5" borderId="19" xfId="0" applyFont="1" applyFill="1" applyBorder="1"/>
    <xf numFmtId="0" fontId="18" fillId="3" borderId="7" xfId="0" applyFont="1" applyFill="1" applyBorder="1"/>
    <xf numFmtId="0" fontId="18" fillId="3" borderId="0" xfId="0" applyFont="1" applyFill="1" applyBorder="1"/>
    <xf numFmtId="0" fontId="18" fillId="3" borderId="16" xfId="0" applyFont="1" applyFill="1" applyBorder="1"/>
    <xf numFmtId="0" fontId="6" fillId="2" borderId="25" xfId="0" applyFont="1" applyFill="1" applyBorder="1"/>
    <xf numFmtId="0" fontId="6" fillId="2" borderId="26" xfId="0" applyFont="1" applyFill="1" applyBorder="1"/>
    <xf numFmtId="0" fontId="6" fillId="6" borderId="21" xfId="0" applyFont="1" applyFill="1" applyBorder="1"/>
    <xf numFmtId="0" fontId="6" fillId="6" borderId="16" xfId="0" applyFont="1" applyFill="1" applyBorder="1"/>
    <xf numFmtId="0" fontId="6" fillId="6" borderId="14" xfId="0" applyFont="1" applyFill="1" applyBorder="1"/>
    <xf numFmtId="0" fontId="9" fillId="5" borderId="16" xfId="0" applyFont="1" applyFill="1" applyBorder="1" applyAlignment="1">
      <alignment vertical="top" wrapText="1"/>
    </xf>
    <xf numFmtId="0" fontId="10" fillId="5" borderId="22" xfId="0" applyFont="1" applyFill="1" applyBorder="1"/>
    <xf numFmtId="0" fontId="9" fillId="5" borderId="24" xfId="0" applyFont="1" applyFill="1" applyBorder="1" applyAlignment="1">
      <alignment vertical="top" wrapText="1"/>
    </xf>
    <xf numFmtId="0" fontId="10" fillId="7" borderId="11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/>
    <xf numFmtId="0" fontId="0" fillId="7" borderId="1" xfId="0" applyFill="1" applyBorder="1"/>
    <xf numFmtId="10" fontId="0" fillId="7" borderId="1" xfId="0" applyNumberFormat="1" applyFill="1" applyBorder="1"/>
    <xf numFmtId="2" fontId="0" fillId="7" borderId="1" xfId="0" applyNumberFormat="1" applyFill="1" applyBorder="1"/>
    <xf numFmtId="0" fontId="4" fillId="5" borderId="1" xfId="0" applyFont="1" applyFill="1" applyBorder="1" applyAlignment="1">
      <alignment vertical="top" wrapText="1"/>
    </xf>
    <xf numFmtId="0" fontId="21" fillId="5" borderId="30" xfId="0" applyFont="1" applyFill="1" applyBorder="1"/>
    <xf numFmtId="0" fontId="21" fillId="5" borderId="31" xfId="0" applyFont="1" applyFill="1" applyBorder="1"/>
    <xf numFmtId="0" fontId="22" fillId="5" borderId="17" xfId="0" applyFont="1" applyFill="1" applyBorder="1" applyAlignment="1">
      <alignment horizontal="left" vertical="center"/>
    </xf>
    <xf numFmtId="0" fontId="23" fillId="5" borderId="5" xfId="0" applyFont="1" applyFill="1" applyBorder="1"/>
    <xf numFmtId="0" fontId="23" fillId="5" borderId="6" xfId="0" applyFont="1" applyFill="1" applyBorder="1"/>
    <xf numFmtId="0" fontId="22" fillId="5" borderId="2" xfId="0" applyFont="1" applyFill="1" applyBorder="1" applyAlignment="1">
      <alignment horizontal="left" vertical="center"/>
    </xf>
    <xf numFmtId="0" fontId="22" fillId="5" borderId="27" xfId="0" applyFont="1" applyFill="1" applyBorder="1" applyAlignment="1">
      <alignment horizontal="left" vertical="center"/>
    </xf>
    <xf numFmtId="0" fontId="23" fillId="5" borderId="28" xfId="0" applyFont="1" applyFill="1" applyBorder="1"/>
    <xf numFmtId="0" fontId="23" fillId="5" borderId="2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10" customWidth="1"/>
    <col min="2" max="2" width="45" customWidth="1"/>
    <col min="3" max="3" width="18" customWidth="1"/>
    <col min="4" max="5" width="23" customWidth="1"/>
    <col min="6" max="6" width="18" customWidth="1"/>
  </cols>
  <sheetData>
    <row r="1" spans="1:6" x14ac:dyDescent="0.25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 x14ac:dyDescent="0.25">
      <c r="F2" s="1" t="str">
        <f t="shared" ref="F2:F65" si="0">IF(AND($C2="done",$D2&lt;&gt;"",$E2&lt;&gt;""),$E2-$D2,"")</f>
        <v/>
      </c>
    </row>
    <row r="3" spans="1:6" x14ac:dyDescent="0.25">
      <c r="F3" s="1" t="str">
        <f t="shared" si="0"/>
        <v/>
      </c>
    </row>
    <row r="4" spans="1:6" x14ac:dyDescent="0.25">
      <c r="F4" s="1" t="str">
        <f t="shared" si="0"/>
        <v/>
      </c>
    </row>
    <row r="5" spans="1:6" x14ac:dyDescent="0.25">
      <c r="F5" s="1" t="str">
        <f t="shared" si="0"/>
        <v/>
      </c>
    </row>
    <row r="6" spans="1:6" x14ac:dyDescent="0.25">
      <c r="F6" s="1" t="str">
        <f t="shared" si="0"/>
        <v/>
      </c>
    </row>
    <row r="7" spans="1:6" x14ac:dyDescent="0.25">
      <c r="F7" s="1" t="str">
        <f t="shared" si="0"/>
        <v/>
      </c>
    </row>
    <row r="8" spans="1:6" x14ac:dyDescent="0.25">
      <c r="F8" s="1" t="str">
        <f t="shared" si="0"/>
        <v/>
      </c>
    </row>
    <row r="9" spans="1:6" x14ac:dyDescent="0.25">
      <c r="F9" s="1" t="str">
        <f t="shared" si="0"/>
        <v/>
      </c>
    </row>
    <row r="10" spans="1:6" x14ac:dyDescent="0.25">
      <c r="F10" s="1" t="str">
        <f t="shared" si="0"/>
        <v/>
      </c>
    </row>
    <row r="11" spans="1:6" x14ac:dyDescent="0.25">
      <c r="F11" s="1" t="str">
        <f t="shared" si="0"/>
        <v/>
      </c>
    </row>
    <row r="12" spans="1:6" x14ac:dyDescent="0.25">
      <c r="F12" s="1" t="str">
        <f t="shared" si="0"/>
        <v/>
      </c>
    </row>
    <row r="13" spans="1:6" x14ac:dyDescent="0.25">
      <c r="F13" s="1" t="str">
        <f t="shared" si="0"/>
        <v/>
      </c>
    </row>
    <row r="14" spans="1:6" x14ac:dyDescent="0.25">
      <c r="F14" s="1" t="str">
        <f t="shared" si="0"/>
        <v/>
      </c>
    </row>
    <row r="15" spans="1:6" x14ac:dyDescent="0.25">
      <c r="F15" s="1" t="str">
        <f t="shared" si="0"/>
        <v/>
      </c>
    </row>
    <row r="16" spans="1:6" x14ac:dyDescent="0.25">
      <c r="F16" s="1" t="str">
        <f t="shared" si="0"/>
        <v/>
      </c>
    </row>
    <row r="17" spans="6:6" x14ac:dyDescent="0.25">
      <c r="F17" s="1" t="str">
        <f t="shared" si="0"/>
        <v/>
      </c>
    </row>
    <row r="18" spans="6:6" x14ac:dyDescent="0.25">
      <c r="F18" s="1" t="str">
        <f t="shared" si="0"/>
        <v/>
      </c>
    </row>
    <row r="19" spans="6:6" x14ac:dyDescent="0.25">
      <c r="F19" s="1" t="str">
        <f t="shared" si="0"/>
        <v/>
      </c>
    </row>
    <row r="20" spans="6:6" x14ac:dyDescent="0.25">
      <c r="F20" s="1" t="str">
        <f t="shared" si="0"/>
        <v/>
      </c>
    </row>
    <row r="21" spans="6:6" x14ac:dyDescent="0.25">
      <c r="F21" s="1" t="str">
        <f t="shared" si="0"/>
        <v/>
      </c>
    </row>
    <row r="22" spans="6:6" x14ac:dyDescent="0.25">
      <c r="F22" s="1" t="str">
        <f t="shared" si="0"/>
        <v/>
      </c>
    </row>
    <row r="23" spans="6:6" x14ac:dyDescent="0.25">
      <c r="F23" s="1" t="str">
        <f t="shared" si="0"/>
        <v/>
      </c>
    </row>
    <row r="24" spans="6:6" x14ac:dyDescent="0.25">
      <c r="F24" s="1" t="str">
        <f t="shared" si="0"/>
        <v/>
      </c>
    </row>
    <row r="25" spans="6:6" x14ac:dyDescent="0.25">
      <c r="F25" s="1" t="str">
        <f t="shared" si="0"/>
        <v/>
      </c>
    </row>
    <row r="26" spans="6:6" x14ac:dyDescent="0.25">
      <c r="F26" s="1" t="str">
        <f t="shared" si="0"/>
        <v/>
      </c>
    </row>
    <row r="27" spans="6:6" x14ac:dyDescent="0.25">
      <c r="F27" s="1" t="str">
        <f t="shared" si="0"/>
        <v/>
      </c>
    </row>
    <row r="28" spans="6:6" x14ac:dyDescent="0.25">
      <c r="F28" s="1" t="str">
        <f t="shared" si="0"/>
        <v/>
      </c>
    </row>
    <row r="29" spans="6:6" x14ac:dyDescent="0.25">
      <c r="F29" s="1" t="str">
        <f t="shared" si="0"/>
        <v/>
      </c>
    </row>
    <row r="30" spans="6:6" x14ac:dyDescent="0.25">
      <c r="F30" s="1" t="str">
        <f t="shared" si="0"/>
        <v/>
      </c>
    </row>
    <row r="31" spans="6:6" x14ac:dyDescent="0.25">
      <c r="F31" s="1" t="str">
        <f t="shared" si="0"/>
        <v/>
      </c>
    </row>
    <row r="32" spans="6:6" x14ac:dyDescent="0.25">
      <c r="F32" s="1" t="str">
        <f t="shared" si="0"/>
        <v/>
      </c>
    </row>
    <row r="33" spans="6:6" x14ac:dyDescent="0.25">
      <c r="F33" s="1" t="str">
        <f t="shared" si="0"/>
        <v/>
      </c>
    </row>
    <row r="34" spans="6:6" x14ac:dyDescent="0.25">
      <c r="F34" s="1" t="str">
        <f t="shared" si="0"/>
        <v/>
      </c>
    </row>
    <row r="35" spans="6:6" x14ac:dyDescent="0.25">
      <c r="F35" s="1" t="str">
        <f t="shared" si="0"/>
        <v/>
      </c>
    </row>
    <row r="36" spans="6:6" x14ac:dyDescent="0.25">
      <c r="F36" s="1" t="str">
        <f t="shared" si="0"/>
        <v/>
      </c>
    </row>
    <row r="37" spans="6:6" x14ac:dyDescent="0.25">
      <c r="F37" s="1" t="str">
        <f t="shared" si="0"/>
        <v/>
      </c>
    </row>
    <row r="38" spans="6:6" x14ac:dyDescent="0.25">
      <c r="F38" s="1" t="str">
        <f t="shared" si="0"/>
        <v/>
      </c>
    </row>
    <row r="39" spans="6:6" x14ac:dyDescent="0.25">
      <c r="F39" s="1" t="str">
        <f t="shared" si="0"/>
        <v/>
      </c>
    </row>
    <row r="40" spans="6:6" x14ac:dyDescent="0.25">
      <c r="F40" s="1" t="str">
        <f t="shared" si="0"/>
        <v/>
      </c>
    </row>
    <row r="41" spans="6:6" x14ac:dyDescent="0.25">
      <c r="F41" s="1" t="str">
        <f t="shared" si="0"/>
        <v/>
      </c>
    </row>
    <row r="42" spans="6:6" x14ac:dyDescent="0.25">
      <c r="F42" s="1" t="str">
        <f t="shared" si="0"/>
        <v/>
      </c>
    </row>
    <row r="43" spans="6:6" x14ac:dyDescent="0.25">
      <c r="F43" s="1" t="str">
        <f t="shared" si="0"/>
        <v/>
      </c>
    </row>
    <row r="44" spans="6:6" x14ac:dyDescent="0.25">
      <c r="F44" s="1" t="str">
        <f t="shared" si="0"/>
        <v/>
      </c>
    </row>
    <row r="45" spans="6:6" x14ac:dyDescent="0.25">
      <c r="F45" s="1" t="str">
        <f t="shared" si="0"/>
        <v/>
      </c>
    </row>
    <row r="46" spans="6:6" x14ac:dyDescent="0.25">
      <c r="F46" s="1" t="str">
        <f t="shared" si="0"/>
        <v/>
      </c>
    </row>
    <row r="47" spans="6:6" x14ac:dyDescent="0.25">
      <c r="F47" s="1" t="str">
        <f t="shared" si="0"/>
        <v/>
      </c>
    </row>
    <row r="48" spans="6:6" x14ac:dyDescent="0.25">
      <c r="F48" s="1" t="str">
        <f t="shared" si="0"/>
        <v/>
      </c>
    </row>
    <row r="49" spans="6:6" x14ac:dyDescent="0.25">
      <c r="F49" s="1" t="str">
        <f t="shared" si="0"/>
        <v/>
      </c>
    </row>
    <row r="50" spans="6:6" x14ac:dyDescent="0.25">
      <c r="F50" s="1" t="str">
        <f t="shared" si="0"/>
        <v/>
      </c>
    </row>
    <row r="51" spans="6:6" x14ac:dyDescent="0.25">
      <c r="F51" s="1" t="str">
        <f t="shared" si="0"/>
        <v/>
      </c>
    </row>
    <row r="52" spans="6:6" x14ac:dyDescent="0.25">
      <c r="F52" s="1" t="str">
        <f t="shared" si="0"/>
        <v/>
      </c>
    </row>
    <row r="53" spans="6:6" x14ac:dyDescent="0.25">
      <c r="F53" s="1" t="str">
        <f t="shared" si="0"/>
        <v/>
      </c>
    </row>
    <row r="54" spans="6:6" x14ac:dyDescent="0.25">
      <c r="F54" s="1" t="str">
        <f t="shared" si="0"/>
        <v/>
      </c>
    </row>
    <row r="55" spans="6:6" x14ac:dyDescent="0.25">
      <c r="F55" s="1" t="str">
        <f t="shared" si="0"/>
        <v/>
      </c>
    </row>
    <row r="56" spans="6:6" x14ac:dyDescent="0.25">
      <c r="F56" s="1" t="str">
        <f t="shared" si="0"/>
        <v/>
      </c>
    </row>
    <row r="57" spans="6:6" x14ac:dyDescent="0.25">
      <c r="F57" s="1" t="str">
        <f t="shared" si="0"/>
        <v/>
      </c>
    </row>
    <row r="58" spans="6:6" x14ac:dyDescent="0.25">
      <c r="F58" s="1" t="str">
        <f t="shared" si="0"/>
        <v/>
      </c>
    </row>
    <row r="59" spans="6:6" x14ac:dyDescent="0.25">
      <c r="F59" s="1" t="str">
        <f t="shared" si="0"/>
        <v/>
      </c>
    </row>
    <row r="60" spans="6:6" x14ac:dyDescent="0.25">
      <c r="F60" s="1" t="str">
        <f t="shared" si="0"/>
        <v/>
      </c>
    </row>
    <row r="61" spans="6:6" x14ac:dyDescent="0.25">
      <c r="F61" s="1" t="str">
        <f t="shared" si="0"/>
        <v/>
      </c>
    </row>
    <row r="62" spans="6:6" x14ac:dyDescent="0.25">
      <c r="F62" s="1" t="str">
        <f t="shared" si="0"/>
        <v/>
      </c>
    </row>
    <row r="63" spans="6:6" x14ac:dyDescent="0.25">
      <c r="F63" s="1" t="str">
        <f t="shared" si="0"/>
        <v/>
      </c>
    </row>
    <row r="64" spans="6:6" x14ac:dyDescent="0.25">
      <c r="F64" s="1" t="str">
        <f t="shared" si="0"/>
        <v/>
      </c>
    </row>
    <row r="65" spans="6:6" x14ac:dyDescent="0.25">
      <c r="F65" s="1" t="str">
        <f t="shared" si="0"/>
        <v/>
      </c>
    </row>
    <row r="66" spans="6:6" x14ac:dyDescent="0.25">
      <c r="F66" s="1" t="str">
        <f t="shared" ref="F66:F129" si="1">IF(AND($C66="done",$D66&lt;&gt;"",$E66&lt;&gt;""),$E66-$D66,"")</f>
        <v/>
      </c>
    </row>
    <row r="67" spans="6:6" x14ac:dyDescent="0.25">
      <c r="F67" s="1" t="str">
        <f t="shared" si="1"/>
        <v/>
      </c>
    </row>
    <row r="68" spans="6:6" x14ac:dyDescent="0.25">
      <c r="F68" s="1" t="str">
        <f t="shared" si="1"/>
        <v/>
      </c>
    </row>
    <row r="69" spans="6:6" x14ac:dyDescent="0.25">
      <c r="F69" s="1" t="str">
        <f t="shared" si="1"/>
        <v/>
      </c>
    </row>
    <row r="70" spans="6:6" x14ac:dyDescent="0.25">
      <c r="F70" s="1" t="str">
        <f t="shared" si="1"/>
        <v/>
      </c>
    </row>
    <row r="71" spans="6:6" x14ac:dyDescent="0.25">
      <c r="F71" s="1" t="str">
        <f t="shared" si="1"/>
        <v/>
      </c>
    </row>
    <row r="72" spans="6:6" x14ac:dyDescent="0.25">
      <c r="F72" s="1" t="str">
        <f t="shared" si="1"/>
        <v/>
      </c>
    </row>
    <row r="73" spans="6:6" x14ac:dyDescent="0.25">
      <c r="F73" s="1" t="str">
        <f t="shared" si="1"/>
        <v/>
      </c>
    </row>
    <row r="74" spans="6:6" x14ac:dyDescent="0.25">
      <c r="F74" s="1" t="str">
        <f t="shared" si="1"/>
        <v/>
      </c>
    </row>
    <row r="75" spans="6:6" x14ac:dyDescent="0.25">
      <c r="F75" s="1" t="str">
        <f t="shared" si="1"/>
        <v/>
      </c>
    </row>
    <row r="76" spans="6:6" x14ac:dyDescent="0.25">
      <c r="F76" s="1" t="str">
        <f t="shared" si="1"/>
        <v/>
      </c>
    </row>
    <row r="77" spans="6:6" x14ac:dyDescent="0.25">
      <c r="F77" s="1" t="str">
        <f t="shared" si="1"/>
        <v/>
      </c>
    </row>
    <row r="78" spans="6:6" x14ac:dyDescent="0.25">
      <c r="F78" s="1" t="str">
        <f t="shared" si="1"/>
        <v/>
      </c>
    </row>
    <row r="79" spans="6:6" x14ac:dyDescent="0.25">
      <c r="F79" s="1" t="str">
        <f t="shared" si="1"/>
        <v/>
      </c>
    </row>
    <row r="80" spans="6:6" x14ac:dyDescent="0.25">
      <c r="F80" s="1" t="str">
        <f t="shared" si="1"/>
        <v/>
      </c>
    </row>
    <row r="81" spans="6:6" x14ac:dyDescent="0.25">
      <c r="F81" s="1" t="str">
        <f t="shared" si="1"/>
        <v/>
      </c>
    </row>
    <row r="82" spans="6:6" x14ac:dyDescent="0.25">
      <c r="F82" s="1" t="str">
        <f t="shared" si="1"/>
        <v/>
      </c>
    </row>
    <row r="83" spans="6:6" x14ac:dyDescent="0.25">
      <c r="F83" s="1" t="str">
        <f t="shared" si="1"/>
        <v/>
      </c>
    </row>
    <row r="84" spans="6:6" x14ac:dyDescent="0.25">
      <c r="F84" s="1" t="str">
        <f t="shared" si="1"/>
        <v/>
      </c>
    </row>
    <row r="85" spans="6:6" x14ac:dyDescent="0.25">
      <c r="F85" s="1" t="str">
        <f t="shared" si="1"/>
        <v/>
      </c>
    </row>
    <row r="86" spans="6:6" x14ac:dyDescent="0.25">
      <c r="F86" s="1" t="str">
        <f t="shared" si="1"/>
        <v/>
      </c>
    </row>
    <row r="87" spans="6:6" x14ac:dyDescent="0.25">
      <c r="F87" s="1" t="str">
        <f t="shared" si="1"/>
        <v/>
      </c>
    </row>
    <row r="88" spans="6:6" x14ac:dyDescent="0.25">
      <c r="F88" s="1" t="str">
        <f t="shared" si="1"/>
        <v/>
      </c>
    </row>
    <row r="89" spans="6:6" x14ac:dyDescent="0.25">
      <c r="F89" s="1" t="str">
        <f t="shared" si="1"/>
        <v/>
      </c>
    </row>
    <row r="90" spans="6:6" x14ac:dyDescent="0.25">
      <c r="F90" s="1" t="str">
        <f t="shared" si="1"/>
        <v/>
      </c>
    </row>
    <row r="91" spans="6:6" x14ac:dyDescent="0.25">
      <c r="F91" s="1" t="str">
        <f t="shared" si="1"/>
        <v/>
      </c>
    </row>
    <row r="92" spans="6:6" x14ac:dyDescent="0.25">
      <c r="F92" s="1" t="str">
        <f t="shared" si="1"/>
        <v/>
      </c>
    </row>
    <row r="93" spans="6:6" x14ac:dyDescent="0.25">
      <c r="F93" s="1" t="str">
        <f t="shared" si="1"/>
        <v/>
      </c>
    </row>
    <row r="94" spans="6:6" x14ac:dyDescent="0.25">
      <c r="F94" s="1" t="str">
        <f t="shared" si="1"/>
        <v/>
      </c>
    </row>
    <row r="95" spans="6:6" x14ac:dyDescent="0.25">
      <c r="F95" s="1" t="str">
        <f t="shared" si="1"/>
        <v/>
      </c>
    </row>
    <row r="96" spans="6:6" x14ac:dyDescent="0.25">
      <c r="F96" s="1" t="str">
        <f t="shared" si="1"/>
        <v/>
      </c>
    </row>
    <row r="97" spans="6:6" x14ac:dyDescent="0.25">
      <c r="F97" s="1" t="str">
        <f t="shared" si="1"/>
        <v/>
      </c>
    </row>
    <row r="98" spans="6:6" x14ac:dyDescent="0.25">
      <c r="F98" s="1" t="str">
        <f t="shared" si="1"/>
        <v/>
      </c>
    </row>
    <row r="99" spans="6:6" x14ac:dyDescent="0.25">
      <c r="F99" s="1" t="str">
        <f t="shared" si="1"/>
        <v/>
      </c>
    </row>
    <row r="100" spans="6:6" x14ac:dyDescent="0.25">
      <c r="F100" s="1" t="str">
        <f t="shared" si="1"/>
        <v/>
      </c>
    </row>
    <row r="101" spans="6:6" x14ac:dyDescent="0.25">
      <c r="F101" s="1" t="str">
        <f t="shared" si="1"/>
        <v/>
      </c>
    </row>
    <row r="102" spans="6:6" x14ac:dyDescent="0.25">
      <c r="F102" s="1" t="str">
        <f t="shared" si="1"/>
        <v/>
      </c>
    </row>
    <row r="103" spans="6:6" x14ac:dyDescent="0.25">
      <c r="F103" s="1" t="str">
        <f t="shared" si="1"/>
        <v/>
      </c>
    </row>
    <row r="104" spans="6:6" x14ac:dyDescent="0.25">
      <c r="F104" s="1" t="str">
        <f t="shared" si="1"/>
        <v/>
      </c>
    </row>
    <row r="105" spans="6:6" x14ac:dyDescent="0.25">
      <c r="F105" s="1" t="str">
        <f t="shared" si="1"/>
        <v/>
      </c>
    </row>
    <row r="106" spans="6:6" x14ac:dyDescent="0.25">
      <c r="F106" s="1" t="str">
        <f t="shared" si="1"/>
        <v/>
      </c>
    </row>
    <row r="107" spans="6:6" x14ac:dyDescent="0.25">
      <c r="F107" s="1" t="str">
        <f t="shared" si="1"/>
        <v/>
      </c>
    </row>
    <row r="108" spans="6:6" x14ac:dyDescent="0.25">
      <c r="F108" s="1" t="str">
        <f t="shared" si="1"/>
        <v/>
      </c>
    </row>
    <row r="109" spans="6:6" x14ac:dyDescent="0.25">
      <c r="F109" s="1" t="str">
        <f t="shared" si="1"/>
        <v/>
      </c>
    </row>
    <row r="110" spans="6:6" x14ac:dyDescent="0.25">
      <c r="F110" s="1" t="str">
        <f t="shared" si="1"/>
        <v/>
      </c>
    </row>
    <row r="111" spans="6:6" x14ac:dyDescent="0.25">
      <c r="F111" s="1" t="str">
        <f t="shared" si="1"/>
        <v/>
      </c>
    </row>
    <row r="112" spans="6:6" x14ac:dyDescent="0.25">
      <c r="F112" s="1" t="str">
        <f t="shared" si="1"/>
        <v/>
      </c>
    </row>
    <row r="113" spans="6:6" x14ac:dyDescent="0.25">
      <c r="F113" s="1" t="str">
        <f t="shared" si="1"/>
        <v/>
      </c>
    </row>
    <row r="114" spans="6:6" x14ac:dyDescent="0.25">
      <c r="F114" s="1" t="str">
        <f t="shared" si="1"/>
        <v/>
      </c>
    </row>
    <row r="115" spans="6:6" x14ac:dyDescent="0.25">
      <c r="F115" s="1" t="str">
        <f t="shared" si="1"/>
        <v/>
      </c>
    </row>
    <row r="116" spans="6:6" x14ac:dyDescent="0.25">
      <c r="F116" s="1" t="str">
        <f t="shared" si="1"/>
        <v/>
      </c>
    </row>
    <row r="117" spans="6:6" x14ac:dyDescent="0.25">
      <c r="F117" s="1" t="str">
        <f t="shared" si="1"/>
        <v/>
      </c>
    </row>
    <row r="118" spans="6:6" x14ac:dyDescent="0.25">
      <c r="F118" s="1" t="str">
        <f t="shared" si="1"/>
        <v/>
      </c>
    </row>
    <row r="119" spans="6:6" x14ac:dyDescent="0.25">
      <c r="F119" s="1" t="str">
        <f t="shared" si="1"/>
        <v/>
      </c>
    </row>
    <row r="120" spans="6:6" x14ac:dyDescent="0.25">
      <c r="F120" s="1" t="str">
        <f t="shared" si="1"/>
        <v/>
      </c>
    </row>
    <row r="121" spans="6:6" x14ac:dyDescent="0.25">
      <c r="F121" s="1" t="str">
        <f t="shared" si="1"/>
        <v/>
      </c>
    </row>
    <row r="122" spans="6:6" x14ac:dyDescent="0.25">
      <c r="F122" s="1" t="str">
        <f t="shared" si="1"/>
        <v/>
      </c>
    </row>
    <row r="123" spans="6:6" x14ac:dyDescent="0.25">
      <c r="F123" s="1" t="str">
        <f t="shared" si="1"/>
        <v/>
      </c>
    </row>
    <row r="124" spans="6:6" x14ac:dyDescent="0.25">
      <c r="F124" s="1" t="str">
        <f t="shared" si="1"/>
        <v/>
      </c>
    </row>
    <row r="125" spans="6:6" x14ac:dyDescent="0.25">
      <c r="F125" s="1" t="str">
        <f t="shared" si="1"/>
        <v/>
      </c>
    </row>
    <row r="126" spans="6:6" x14ac:dyDescent="0.25">
      <c r="F126" s="1" t="str">
        <f t="shared" si="1"/>
        <v/>
      </c>
    </row>
    <row r="127" spans="6:6" x14ac:dyDescent="0.25">
      <c r="F127" s="1" t="str">
        <f t="shared" si="1"/>
        <v/>
      </c>
    </row>
    <row r="128" spans="6:6" x14ac:dyDescent="0.25">
      <c r="F128" s="1" t="str">
        <f t="shared" si="1"/>
        <v/>
      </c>
    </row>
    <row r="129" spans="6:6" x14ac:dyDescent="0.25">
      <c r="F129" s="1" t="str">
        <f t="shared" si="1"/>
        <v/>
      </c>
    </row>
    <row r="130" spans="6:6" x14ac:dyDescent="0.25">
      <c r="F130" s="1" t="str">
        <f t="shared" ref="F130:F193" si="2">IF(AND($C130="done",$D130&lt;&gt;"",$E130&lt;&gt;""),$E130-$D130,"")</f>
        <v/>
      </c>
    </row>
    <row r="131" spans="6:6" x14ac:dyDescent="0.25">
      <c r="F131" s="1" t="str">
        <f t="shared" si="2"/>
        <v/>
      </c>
    </row>
    <row r="132" spans="6:6" x14ac:dyDescent="0.25">
      <c r="F132" s="1" t="str">
        <f t="shared" si="2"/>
        <v/>
      </c>
    </row>
    <row r="133" spans="6:6" x14ac:dyDescent="0.25">
      <c r="F133" s="1" t="str">
        <f t="shared" si="2"/>
        <v/>
      </c>
    </row>
    <row r="134" spans="6:6" x14ac:dyDescent="0.25">
      <c r="F134" s="1" t="str">
        <f t="shared" si="2"/>
        <v/>
      </c>
    </row>
    <row r="135" spans="6:6" x14ac:dyDescent="0.25">
      <c r="F135" s="1" t="str">
        <f t="shared" si="2"/>
        <v/>
      </c>
    </row>
    <row r="136" spans="6:6" x14ac:dyDescent="0.25">
      <c r="F136" s="1" t="str">
        <f t="shared" si="2"/>
        <v/>
      </c>
    </row>
    <row r="137" spans="6:6" x14ac:dyDescent="0.25">
      <c r="F137" s="1" t="str">
        <f t="shared" si="2"/>
        <v/>
      </c>
    </row>
    <row r="138" spans="6:6" x14ac:dyDescent="0.25">
      <c r="F138" s="1" t="str">
        <f t="shared" si="2"/>
        <v/>
      </c>
    </row>
    <row r="139" spans="6:6" x14ac:dyDescent="0.25">
      <c r="F139" s="1" t="str">
        <f t="shared" si="2"/>
        <v/>
      </c>
    </row>
    <row r="140" spans="6:6" x14ac:dyDescent="0.25">
      <c r="F140" s="1" t="str">
        <f t="shared" si="2"/>
        <v/>
      </c>
    </row>
    <row r="141" spans="6:6" x14ac:dyDescent="0.25">
      <c r="F141" s="1" t="str">
        <f t="shared" si="2"/>
        <v/>
      </c>
    </row>
    <row r="142" spans="6:6" x14ac:dyDescent="0.25">
      <c r="F142" s="1" t="str">
        <f t="shared" si="2"/>
        <v/>
      </c>
    </row>
    <row r="143" spans="6:6" x14ac:dyDescent="0.25">
      <c r="F143" s="1" t="str">
        <f t="shared" si="2"/>
        <v/>
      </c>
    </row>
    <row r="144" spans="6:6" x14ac:dyDescent="0.25">
      <c r="F144" s="1" t="str">
        <f t="shared" si="2"/>
        <v/>
      </c>
    </row>
    <row r="145" spans="6:6" x14ac:dyDescent="0.25">
      <c r="F145" s="1" t="str">
        <f t="shared" si="2"/>
        <v/>
      </c>
    </row>
    <row r="146" spans="6:6" x14ac:dyDescent="0.25">
      <c r="F146" s="1" t="str">
        <f t="shared" si="2"/>
        <v/>
      </c>
    </row>
    <row r="147" spans="6:6" x14ac:dyDescent="0.25">
      <c r="F147" s="1" t="str">
        <f t="shared" si="2"/>
        <v/>
      </c>
    </row>
    <row r="148" spans="6:6" x14ac:dyDescent="0.25">
      <c r="F148" s="1" t="str">
        <f t="shared" si="2"/>
        <v/>
      </c>
    </row>
    <row r="149" spans="6:6" x14ac:dyDescent="0.25">
      <c r="F149" s="1" t="str">
        <f t="shared" si="2"/>
        <v/>
      </c>
    </row>
    <row r="150" spans="6:6" x14ac:dyDescent="0.25">
      <c r="F150" s="1" t="str">
        <f t="shared" si="2"/>
        <v/>
      </c>
    </row>
    <row r="151" spans="6:6" x14ac:dyDescent="0.25">
      <c r="F151" s="1" t="str">
        <f t="shared" si="2"/>
        <v/>
      </c>
    </row>
    <row r="152" spans="6:6" x14ac:dyDescent="0.25">
      <c r="F152" s="1" t="str">
        <f t="shared" si="2"/>
        <v/>
      </c>
    </row>
    <row r="153" spans="6:6" x14ac:dyDescent="0.25">
      <c r="F153" s="1" t="str">
        <f t="shared" si="2"/>
        <v/>
      </c>
    </row>
    <row r="154" spans="6:6" x14ac:dyDescent="0.25">
      <c r="F154" s="1" t="str">
        <f t="shared" si="2"/>
        <v/>
      </c>
    </row>
    <row r="155" spans="6:6" x14ac:dyDescent="0.25">
      <c r="F155" s="1" t="str">
        <f t="shared" si="2"/>
        <v/>
      </c>
    </row>
    <row r="156" spans="6:6" x14ac:dyDescent="0.25">
      <c r="F156" s="1" t="str">
        <f t="shared" si="2"/>
        <v/>
      </c>
    </row>
    <row r="157" spans="6:6" x14ac:dyDescent="0.25">
      <c r="F157" s="1" t="str">
        <f t="shared" si="2"/>
        <v/>
      </c>
    </row>
    <row r="158" spans="6:6" x14ac:dyDescent="0.25">
      <c r="F158" s="1" t="str">
        <f t="shared" si="2"/>
        <v/>
      </c>
    </row>
    <row r="159" spans="6:6" x14ac:dyDescent="0.25">
      <c r="F159" s="1" t="str">
        <f t="shared" si="2"/>
        <v/>
      </c>
    </row>
    <row r="160" spans="6:6" x14ac:dyDescent="0.25">
      <c r="F160" s="1" t="str">
        <f t="shared" si="2"/>
        <v/>
      </c>
    </row>
    <row r="161" spans="6:6" x14ac:dyDescent="0.25">
      <c r="F161" s="1" t="str">
        <f t="shared" si="2"/>
        <v/>
      </c>
    </row>
    <row r="162" spans="6:6" x14ac:dyDescent="0.25">
      <c r="F162" s="1" t="str">
        <f t="shared" si="2"/>
        <v/>
      </c>
    </row>
    <row r="163" spans="6:6" x14ac:dyDescent="0.25">
      <c r="F163" s="1" t="str">
        <f t="shared" si="2"/>
        <v/>
      </c>
    </row>
    <row r="164" spans="6:6" x14ac:dyDescent="0.25">
      <c r="F164" s="1" t="str">
        <f t="shared" si="2"/>
        <v/>
      </c>
    </row>
    <row r="165" spans="6:6" x14ac:dyDescent="0.25">
      <c r="F165" s="1" t="str">
        <f t="shared" si="2"/>
        <v/>
      </c>
    </row>
    <row r="166" spans="6:6" x14ac:dyDescent="0.25">
      <c r="F166" s="1" t="str">
        <f t="shared" si="2"/>
        <v/>
      </c>
    </row>
    <row r="167" spans="6:6" x14ac:dyDescent="0.25">
      <c r="F167" s="1" t="str">
        <f t="shared" si="2"/>
        <v/>
      </c>
    </row>
    <row r="168" spans="6:6" x14ac:dyDescent="0.25">
      <c r="F168" s="1" t="str">
        <f t="shared" si="2"/>
        <v/>
      </c>
    </row>
    <row r="169" spans="6:6" x14ac:dyDescent="0.25">
      <c r="F169" s="1" t="str">
        <f t="shared" si="2"/>
        <v/>
      </c>
    </row>
    <row r="170" spans="6:6" x14ac:dyDescent="0.25">
      <c r="F170" s="1" t="str">
        <f t="shared" si="2"/>
        <v/>
      </c>
    </row>
    <row r="171" spans="6:6" x14ac:dyDescent="0.25">
      <c r="F171" s="1" t="str">
        <f t="shared" si="2"/>
        <v/>
      </c>
    </row>
    <row r="172" spans="6:6" x14ac:dyDescent="0.25">
      <c r="F172" s="1" t="str">
        <f t="shared" si="2"/>
        <v/>
      </c>
    </row>
    <row r="173" spans="6:6" x14ac:dyDescent="0.25">
      <c r="F173" s="1" t="str">
        <f t="shared" si="2"/>
        <v/>
      </c>
    </row>
    <row r="174" spans="6:6" x14ac:dyDescent="0.25">
      <c r="F174" s="1" t="str">
        <f t="shared" si="2"/>
        <v/>
      </c>
    </row>
    <row r="175" spans="6:6" x14ac:dyDescent="0.25">
      <c r="F175" s="1" t="str">
        <f t="shared" si="2"/>
        <v/>
      </c>
    </row>
    <row r="176" spans="6:6" x14ac:dyDescent="0.25">
      <c r="F176" s="1" t="str">
        <f t="shared" si="2"/>
        <v/>
      </c>
    </row>
    <row r="177" spans="6:6" x14ac:dyDescent="0.25">
      <c r="F177" s="1" t="str">
        <f t="shared" si="2"/>
        <v/>
      </c>
    </row>
    <row r="178" spans="6:6" x14ac:dyDescent="0.25">
      <c r="F178" s="1" t="str">
        <f t="shared" si="2"/>
        <v/>
      </c>
    </row>
    <row r="179" spans="6:6" x14ac:dyDescent="0.25">
      <c r="F179" s="1" t="str">
        <f t="shared" si="2"/>
        <v/>
      </c>
    </row>
    <row r="180" spans="6:6" x14ac:dyDescent="0.25">
      <c r="F180" s="1" t="str">
        <f t="shared" si="2"/>
        <v/>
      </c>
    </row>
    <row r="181" spans="6:6" x14ac:dyDescent="0.25">
      <c r="F181" s="1" t="str">
        <f t="shared" si="2"/>
        <v/>
      </c>
    </row>
    <row r="182" spans="6:6" x14ac:dyDescent="0.25">
      <c r="F182" s="1" t="str">
        <f t="shared" si="2"/>
        <v/>
      </c>
    </row>
    <row r="183" spans="6:6" x14ac:dyDescent="0.25">
      <c r="F183" s="1" t="str">
        <f t="shared" si="2"/>
        <v/>
      </c>
    </row>
    <row r="184" spans="6:6" x14ac:dyDescent="0.25">
      <c r="F184" s="1" t="str">
        <f t="shared" si="2"/>
        <v/>
      </c>
    </row>
    <row r="185" spans="6:6" x14ac:dyDescent="0.25">
      <c r="F185" s="1" t="str">
        <f t="shared" si="2"/>
        <v/>
      </c>
    </row>
    <row r="186" spans="6:6" x14ac:dyDescent="0.25">
      <c r="F186" s="1" t="str">
        <f t="shared" si="2"/>
        <v/>
      </c>
    </row>
    <row r="187" spans="6:6" x14ac:dyDescent="0.25">
      <c r="F187" s="1" t="str">
        <f t="shared" si="2"/>
        <v/>
      </c>
    </row>
    <row r="188" spans="6:6" x14ac:dyDescent="0.25">
      <c r="F188" s="1" t="str">
        <f t="shared" si="2"/>
        <v/>
      </c>
    </row>
    <row r="189" spans="6:6" x14ac:dyDescent="0.25">
      <c r="F189" s="1" t="str">
        <f t="shared" si="2"/>
        <v/>
      </c>
    </row>
    <row r="190" spans="6:6" x14ac:dyDescent="0.25">
      <c r="F190" s="1" t="str">
        <f t="shared" si="2"/>
        <v/>
      </c>
    </row>
    <row r="191" spans="6:6" x14ac:dyDescent="0.25">
      <c r="F191" s="1" t="str">
        <f t="shared" si="2"/>
        <v/>
      </c>
    </row>
    <row r="192" spans="6:6" x14ac:dyDescent="0.25">
      <c r="F192" s="1" t="str">
        <f t="shared" si="2"/>
        <v/>
      </c>
    </row>
    <row r="193" spans="6:6" x14ac:dyDescent="0.25">
      <c r="F193" s="1" t="str">
        <f t="shared" si="2"/>
        <v/>
      </c>
    </row>
    <row r="194" spans="6:6" x14ac:dyDescent="0.25">
      <c r="F194" s="1" t="str">
        <f t="shared" ref="F194:F257" si="3">IF(AND($C194="done",$D194&lt;&gt;"",$E194&lt;&gt;""),$E194-$D194,"")</f>
        <v/>
      </c>
    </row>
    <row r="195" spans="6:6" x14ac:dyDescent="0.25">
      <c r="F195" s="1" t="str">
        <f t="shared" si="3"/>
        <v/>
      </c>
    </row>
    <row r="196" spans="6:6" x14ac:dyDescent="0.25">
      <c r="F196" s="1" t="str">
        <f t="shared" si="3"/>
        <v/>
      </c>
    </row>
    <row r="197" spans="6:6" x14ac:dyDescent="0.25">
      <c r="F197" s="1" t="str">
        <f t="shared" si="3"/>
        <v/>
      </c>
    </row>
    <row r="198" spans="6:6" x14ac:dyDescent="0.25">
      <c r="F198" s="1" t="str">
        <f t="shared" si="3"/>
        <v/>
      </c>
    </row>
    <row r="199" spans="6:6" x14ac:dyDescent="0.25">
      <c r="F199" s="1" t="str">
        <f t="shared" si="3"/>
        <v/>
      </c>
    </row>
    <row r="200" spans="6:6" x14ac:dyDescent="0.25">
      <c r="F200" s="1" t="str">
        <f t="shared" si="3"/>
        <v/>
      </c>
    </row>
    <row r="201" spans="6:6" x14ac:dyDescent="0.25">
      <c r="F201" s="1" t="str">
        <f t="shared" si="3"/>
        <v/>
      </c>
    </row>
    <row r="202" spans="6:6" x14ac:dyDescent="0.25">
      <c r="F202" s="1" t="str">
        <f t="shared" si="3"/>
        <v/>
      </c>
    </row>
    <row r="203" spans="6:6" x14ac:dyDescent="0.25">
      <c r="F203" s="1" t="str">
        <f t="shared" si="3"/>
        <v/>
      </c>
    </row>
    <row r="204" spans="6:6" x14ac:dyDescent="0.25">
      <c r="F204" s="1" t="str">
        <f t="shared" si="3"/>
        <v/>
      </c>
    </row>
    <row r="205" spans="6:6" x14ac:dyDescent="0.25">
      <c r="F205" s="1" t="str">
        <f t="shared" si="3"/>
        <v/>
      </c>
    </row>
    <row r="206" spans="6:6" x14ac:dyDescent="0.25">
      <c r="F206" s="1" t="str">
        <f t="shared" si="3"/>
        <v/>
      </c>
    </row>
    <row r="207" spans="6:6" x14ac:dyDescent="0.25">
      <c r="F207" s="1" t="str">
        <f t="shared" si="3"/>
        <v/>
      </c>
    </row>
    <row r="208" spans="6:6" x14ac:dyDescent="0.25">
      <c r="F208" s="1" t="str">
        <f t="shared" si="3"/>
        <v/>
      </c>
    </row>
    <row r="209" spans="6:6" x14ac:dyDescent="0.25">
      <c r="F209" s="1" t="str">
        <f t="shared" si="3"/>
        <v/>
      </c>
    </row>
    <row r="210" spans="6:6" x14ac:dyDescent="0.25">
      <c r="F210" s="1" t="str">
        <f t="shared" si="3"/>
        <v/>
      </c>
    </row>
    <row r="211" spans="6:6" x14ac:dyDescent="0.25">
      <c r="F211" s="1" t="str">
        <f t="shared" si="3"/>
        <v/>
      </c>
    </row>
    <row r="212" spans="6:6" x14ac:dyDescent="0.25">
      <c r="F212" s="1" t="str">
        <f t="shared" si="3"/>
        <v/>
      </c>
    </row>
    <row r="213" spans="6:6" x14ac:dyDescent="0.25">
      <c r="F213" s="1" t="str">
        <f t="shared" si="3"/>
        <v/>
      </c>
    </row>
    <row r="214" spans="6:6" x14ac:dyDescent="0.25">
      <c r="F214" s="1" t="str">
        <f t="shared" si="3"/>
        <v/>
      </c>
    </row>
    <row r="215" spans="6:6" x14ac:dyDescent="0.25">
      <c r="F215" s="1" t="str">
        <f t="shared" si="3"/>
        <v/>
      </c>
    </row>
    <row r="216" spans="6:6" x14ac:dyDescent="0.25">
      <c r="F216" s="1" t="str">
        <f t="shared" si="3"/>
        <v/>
      </c>
    </row>
    <row r="217" spans="6:6" x14ac:dyDescent="0.25">
      <c r="F217" s="1" t="str">
        <f t="shared" si="3"/>
        <v/>
      </c>
    </row>
    <row r="218" spans="6:6" x14ac:dyDescent="0.25">
      <c r="F218" s="1" t="str">
        <f t="shared" si="3"/>
        <v/>
      </c>
    </row>
    <row r="219" spans="6:6" x14ac:dyDescent="0.25">
      <c r="F219" s="1" t="str">
        <f t="shared" si="3"/>
        <v/>
      </c>
    </row>
    <row r="220" spans="6:6" x14ac:dyDescent="0.25">
      <c r="F220" s="1" t="str">
        <f t="shared" si="3"/>
        <v/>
      </c>
    </row>
    <row r="221" spans="6:6" x14ac:dyDescent="0.25">
      <c r="F221" s="1" t="str">
        <f t="shared" si="3"/>
        <v/>
      </c>
    </row>
    <row r="222" spans="6:6" x14ac:dyDescent="0.25">
      <c r="F222" s="1" t="str">
        <f t="shared" si="3"/>
        <v/>
      </c>
    </row>
    <row r="223" spans="6:6" x14ac:dyDescent="0.25">
      <c r="F223" s="1" t="str">
        <f t="shared" si="3"/>
        <v/>
      </c>
    </row>
    <row r="224" spans="6:6" x14ac:dyDescent="0.25">
      <c r="F224" s="1" t="str">
        <f t="shared" si="3"/>
        <v/>
      </c>
    </row>
    <row r="225" spans="6:6" x14ac:dyDescent="0.25">
      <c r="F225" s="1" t="str">
        <f t="shared" si="3"/>
        <v/>
      </c>
    </row>
    <row r="226" spans="6:6" x14ac:dyDescent="0.25">
      <c r="F226" s="1" t="str">
        <f t="shared" si="3"/>
        <v/>
      </c>
    </row>
    <row r="227" spans="6:6" x14ac:dyDescent="0.25">
      <c r="F227" s="1" t="str">
        <f t="shared" si="3"/>
        <v/>
      </c>
    </row>
    <row r="228" spans="6:6" x14ac:dyDescent="0.25">
      <c r="F228" s="1" t="str">
        <f t="shared" si="3"/>
        <v/>
      </c>
    </row>
    <row r="229" spans="6:6" x14ac:dyDescent="0.25">
      <c r="F229" s="1" t="str">
        <f t="shared" si="3"/>
        <v/>
      </c>
    </row>
    <row r="230" spans="6:6" x14ac:dyDescent="0.25">
      <c r="F230" s="1" t="str">
        <f t="shared" si="3"/>
        <v/>
      </c>
    </row>
    <row r="231" spans="6:6" x14ac:dyDescent="0.25">
      <c r="F231" s="1" t="str">
        <f t="shared" si="3"/>
        <v/>
      </c>
    </row>
    <row r="232" spans="6:6" x14ac:dyDescent="0.25">
      <c r="F232" s="1" t="str">
        <f t="shared" si="3"/>
        <v/>
      </c>
    </row>
    <row r="233" spans="6:6" x14ac:dyDescent="0.25">
      <c r="F233" s="1" t="str">
        <f t="shared" si="3"/>
        <v/>
      </c>
    </row>
    <row r="234" spans="6:6" x14ac:dyDescent="0.25">
      <c r="F234" s="1" t="str">
        <f t="shared" si="3"/>
        <v/>
      </c>
    </row>
    <row r="235" spans="6:6" x14ac:dyDescent="0.25">
      <c r="F235" s="1" t="str">
        <f t="shared" si="3"/>
        <v/>
      </c>
    </row>
    <row r="236" spans="6:6" x14ac:dyDescent="0.25">
      <c r="F236" s="1" t="str">
        <f t="shared" si="3"/>
        <v/>
      </c>
    </row>
    <row r="237" spans="6:6" x14ac:dyDescent="0.25">
      <c r="F237" s="1" t="str">
        <f t="shared" si="3"/>
        <v/>
      </c>
    </row>
    <row r="238" spans="6:6" x14ac:dyDescent="0.25">
      <c r="F238" s="1" t="str">
        <f t="shared" si="3"/>
        <v/>
      </c>
    </row>
    <row r="239" spans="6:6" x14ac:dyDescent="0.25">
      <c r="F239" s="1" t="str">
        <f t="shared" si="3"/>
        <v/>
      </c>
    </row>
    <row r="240" spans="6:6" x14ac:dyDescent="0.25">
      <c r="F240" s="1" t="str">
        <f t="shared" si="3"/>
        <v/>
      </c>
    </row>
    <row r="241" spans="6:6" x14ac:dyDescent="0.25">
      <c r="F241" s="1" t="str">
        <f t="shared" si="3"/>
        <v/>
      </c>
    </row>
    <row r="242" spans="6:6" x14ac:dyDescent="0.25">
      <c r="F242" s="1" t="str">
        <f t="shared" si="3"/>
        <v/>
      </c>
    </row>
    <row r="243" spans="6:6" x14ac:dyDescent="0.25">
      <c r="F243" s="1" t="str">
        <f t="shared" si="3"/>
        <v/>
      </c>
    </row>
    <row r="244" spans="6:6" x14ac:dyDescent="0.25">
      <c r="F244" s="1" t="str">
        <f t="shared" si="3"/>
        <v/>
      </c>
    </row>
    <row r="245" spans="6:6" x14ac:dyDescent="0.25">
      <c r="F245" s="1" t="str">
        <f t="shared" si="3"/>
        <v/>
      </c>
    </row>
    <row r="246" spans="6:6" x14ac:dyDescent="0.25">
      <c r="F246" s="1" t="str">
        <f t="shared" si="3"/>
        <v/>
      </c>
    </row>
    <row r="247" spans="6:6" x14ac:dyDescent="0.25">
      <c r="F247" s="1" t="str">
        <f t="shared" si="3"/>
        <v/>
      </c>
    </row>
    <row r="248" spans="6:6" x14ac:dyDescent="0.25">
      <c r="F248" s="1" t="str">
        <f t="shared" si="3"/>
        <v/>
      </c>
    </row>
    <row r="249" spans="6:6" x14ac:dyDescent="0.25">
      <c r="F249" s="1" t="str">
        <f t="shared" si="3"/>
        <v/>
      </c>
    </row>
    <row r="250" spans="6:6" x14ac:dyDescent="0.25">
      <c r="F250" s="1" t="str">
        <f t="shared" si="3"/>
        <v/>
      </c>
    </row>
    <row r="251" spans="6:6" x14ac:dyDescent="0.25">
      <c r="F251" s="1" t="str">
        <f t="shared" si="3"/>
        <v/>
      </c>
    </row>
    <row r="252" spans="6:6" x14ac:dyDescent="0.25">
      <c r="F252" s="1" t="str">
        <f t="shared" si="3"/>
        <v/>
      </c>
    </row>
    <row r="253" spans="6:6" x14ac:dyDescent="0.25">
      <c r="F253" s="1" t="str">
        <f t="shared" si="3"/>
        <v/>
      </c>
    </row>
    <row r="254" spans="6:6" x14ac:dyDescent="0.25">
      <c r="F254" s="1" t="str">
        <f t="shared" si="3"/>
        <v/>
      </c>
    </row>
    <row r="255" spans="6:6" x14ac:dyDescent="0.25">
      <c r="F255" s="1" t="str">
        <f t="shared" si="3"/>
        <v/>
      </c>
    </row>
    <row r="256" spans="6:6" x14ac:dyDescent="0.25">
      <c r="F256" s="1" t="str">
        <f t="shared" si="3"/>
        <v/>
      </c>
    </row>
    <row r="257" spans="6:6" x14ac:dyDescent="0.25">
      <c r="F257" s="1" t="str">
        <f t="shared" si="3"/>
        <v/>
      </c>
    </row>
    <row r="258" spans="6:6" x14ac:dyDescent="0.25">
      <c r="F258" s="1" t="str">
        <f t="shared" ref="F258:F321" si="4">IF(AND($C258="done",$D258&lt;&gt;"",$E258&lt;&gt;""),$E258-$D258,"")</f>
        <v/>
      </c>
    </row>
    <row r="259" spans="6:6" x14ac:dyDescent="0.25">
      <c r="F259" s="1" t="str">
        <f t="shared" si="4"/>
        <v/>
      </c>
    </row>
    <row r="260" spans="6:6" x14ac:dyDescent="0.25">
      <c r="F260" s="1" t="str">
        <f t="shared" si="4"/>
        <v/>
      </c>
    </row>
    <row r="261" spans="6:6" x14ac:dyDescent="0.25">
      <c r="F261" s="1" t="str">
        <f t="shared" si="4"/>
        <v/>
      </c>
    </row>
    <row r="262" spans="6:6" x14ac:dyDescent="0.25">
      <c r="F262" s="1" t="str">
        <f t="shared" si="4"/>
        <v/>
      </c>
    </row>
    <row r="263" spans="6:6" x14ac:dyDescent="0.25">
      <c r="F263" s="1" t="str">
        <f t="shared" si="4"/>
        <v/>
      </c>
    </row>
    <row r="264" spans="6:6" x14ac:dyDescent="0.25">
      <c r="F264" s="1" t="str">
        <f t="shared" si="4"/>
        <v/>
      </c>
    </row>
    <row r="265" spans="6:6" x14ac:dyDescent="0.25">
      <c r="F265" s="1" t="str">
        <f t="shared" si="4"/>
        <v/>
      </c>
    </row>
    <row r="266" spans="6:6" x14ac:dyDescent="0.25">
      <c r="F266" s="1" t="str">
        <f t="shared" si="4"/>
        <v/>
      </c>
    </row>
    <row r="267" spans="6:6" x14ac:dyDescent="0.25">
      <c r="F267" s="1" t="str">
        <f t="shared" si="4"/>
        <v/>
      </c>
    </row>
    <row r="268" spans="6:6" x14ac:dyDescent="0.25">
      <c r="F268" s="1" t="str">
        <f t="shared" si="4"/>
        <v/>
      </c>
    </row>
    <row r="269" spans="6:6" x14ac:dyDescent="0.25">
      <c r="F269" s="1" t="str">
        <f t="shared" si="4"/>
        <v/>
      </c>
    </row>
    <row r="270" spans="6:6" x14ac:dyDescent="0.25">
      <c r="F270" s="1" t="str">
        <f t="shared" si="4"/>
        <v/>
      </c>
    </row>
    <row r="271" spans="6:6" x14ac:dyDescent="0.25">
      <c r="F271" s="1" t="str">
        <f t="shared" si="4"/>
        <v/>
      </c>
    </row>
    <row r="272" spans="6:6" x14ac:dyDescent="0.25">
      <c r="F272" s="1" t="str">
        <f t="shared" si="4"/>
        <v/>
      </c>
    </row>
    <row r="273" spans="6:6" x14ac:dyDescent="0.25">
      <c r="F273" s="1" t="str">
        <f t="shared" si="4"/>
        <v/>
      </c>
    </row>
    <row r="274" spans="6:6" x14ac:dyDescent="0.25">
      <c r="F274" s="1" t="str">
        <f t="shared" si="4"/>
        <v/>
      </c>
    </row>
    <row r="275" spans="6:6" x14ac:dyDescent="0.25">
      <c r="F275" s="1" t="str">
        <f t="shared" si="4"/>
        <v/>
      </c>
    </row>
    <row r="276" spans="6:6" x14ac:dyDescent="0.25">
      <c r="F276" s="1" t="str">
        <f t="shared" si="4"/>
        <v/>
      </c>
    </row>
    <row r="277" spans="6:6" x14ac:dyDescent="0.25">
      <c r="F277" s="1" t="str">
        <f t="shared" si="4"/>
        <v/>
      </c>
    </row>
    <row r="278" spans="6:6" x14ac:dyDescent="0.25">
      <c r="F278" s="1" t="str">
        <f t="shared" si="4"/>
        <v/>
      </c>
    </row>
    <row r="279" spans="6:6" x14ac:dyDescent="0.25">
      <c r="F279" s="1" t="str">
        <f t="shared" si="4"/>
        <v/>
      </c>
    </row>
    <row r="280" spans="6:6" x14ac:dyDescent="0.25">
      <c r="F280" s="1" t="str">
        <f t="shared" si="4"/>
        <v/>
      </c>
    </row>
    <row r="281" spans="6:6" x14ac:dyDescent="0.25">
      <c r="F281" s="1" t="str">
        <f t="shared" si="4"/>
        <v/>
      </c>
    </row>
    <row r="282" spans="6:6" x14ac:dyDescent="0.25">
      <c r="F282" s="1" t="str">
        <f t="shared" si="4"/>
        <v/>
      </c>
    </row>
    <row r="283" spans="6:6" x14ac:dyDescent="0.25">
      <c r="F283" s="1" t="str">
        <f t="shared" si="4"/>
        <v/>
      </c>
    </row>
    <row r="284" spans="6:6" x14ac:dyDescent="0.25">
      <c r="F284" s="1" t="str">
        <f t="shared" si="4"/>
        <v/>
      </c>
    </row>
    <row r="285" spans="6:6" x14ac:dyDescent="0.25">
      <c r="F285" s="1" t="str">
        <f t="shared" si="4"/>
        <v/>
      </c>
    </row>
    <row r="286" spans="6:6" x14ac:dyDescent="0.25">
      <c r="F286" s="1" t="str">
        <f t="shared" si="4"/>
        <v/>
      </c>
    </row>
    <row r="287" spans="6:6" x14ac:dyDescent="0.25">
      <c r="F287" s="1" t="str">
        <f t="shared" si="4"/>
        <v/>
      </c>
    </row>
    <row r="288" spans="6:6" x14ac:dyDescent="0.25">
      <c r="F288" s="1" t="str">
        <f t="shared" si="4"/>
        <v/>
      </c>
    </row>
    <row r="289" spans="6:6" x14ac:dyDescent="0.25">
      <c r="F289" s="1" t="str">
        <f t="shared" si="4"/>
        <v/>
      </c>
    </row>
    <row r="290" spans="6:6" x14ac:dyDescent="0.25">
      <c r="F290" s="1" t="str">
        <f t="shared" si="4"/>
        <v/>
      </c>
    </row>
    <row r="291" spans="6:6" x14ac:dyDescent="0.25">
      <c r="F291" s="1" t="str">
        <f t="shared" si="4"/>
        <v/>
      </c>
    </row>
    <row r="292" spans="6:6" x14ac:dyDescent="0.25">
      <c r="F292" s="1" t="str">
        <f t="shared" si="4"/>
        <v/>
      </c>
    </row>
    <row r="293" spans="6:6" x14ac:dyDescent="0.25">
      <c r="F293" s="1" t="str">
        <f t="shared" si="4"/>
        <v/>
      </c>
    </row>
    <row r="294" spans="6:6" x14ac:dyDescent="0.25">
      <c r="F294" s="1" t="str">
        <f t="shared" si="4"/>
        <v/>
      </c>
    </row>
    <row r="295" spans="6:6" x14ac:dyDescent="0.25">
      <c r="F295" s="1" t="str">
        <f t="shared" si="4"/>
        <v/>
      </c>
    </row>
    <row r="296" spans="6:6" x14ac:dyDescent="0.25">
      <c r="F296" s="1" t="str">
        <f t="shared" si="4"/>
        <v/>
      </c>
    </row>
    <row r="297" spans="6:6" x14ac:dyDescent="0.25">
      <c r="F297" s="1" t="str">
        <f t="shared" si="4"/>
        <v/>
      </c>
    </row>
    <row r="298" spans="6:6" x14ac:dyDescent="0.25">
      <c r="F298" s="1" t="str">
        <f t="shared" si="4"/>
        <v/>
      </c>
    </row>
    <row r="299" spans="6:6" x14ac:dyDescent="0.25">
      <c r="F299" s="1" t="str">
        <f t="shared" si="4"/>
        <v/>
      </c>
    </row>
    <row r="300" spans="6:6" x14ac:dyDescent="0.25">
      <c r="F300" s="1" t="str">
        <f t="shared" si="4"/>
        <v/>
      </c>
    </row>
    <row r="301" spans="6:6" x14ac:dyDescent="0.25">
      <c r="F301" s="1" t="str">
        <f t="shared" si="4"/>
        <v/>
      </c>
    </row>
    <row r="302" spans="6:6" x14ac:dyDescent="0.25">
      <c r="F302" s="1" t="str">
        <f t="shared" si="4"/>
        <v/>
      </c>
    </row>
    <row r="303" spans="6:6" x14ac:dyDescent="0.25">
      <c r="F303" s="1" t="str">
        <f t="shared" si="4"/>
        <v/>
      </c>
    </row>
    <row r="304" spans="6:6" x14ac:dyDescent="0.25">
      <c r="F304" s="1" t="str">
        <f t="shared" si="4"/>
        <v/>
      </c>
    </row>
    <row r="305" spans="6:6" x14ac:dyDescent="0.25">
      <c r="F305" s="1" t="str">
        <f t="shared" si="4"/>
        <v/>
      </c>
    </row>
    <row r="306" spans="6:6" x14ac:dyDescent="0.25">
      <c r="F306" s="1" t="str">
        <f t="shared" si="4"/>
        <v/>
      </c>
    </row>
    <row r="307" spans="6:6" x14ac:dyDescent="0.25">
      <c r="F307" s="1" t="str">
        <f t="shared" si="4"/>
        <v/>
      </c>
    </row>
    <row r="308" spans="6:6" x14ac:dyDescent="0.25">
      <c r="F308" s="1" t="str">
        <f t="shared" si="4"/>
        <v/>
      </c>
    </row>
    <row r="309" spans="6:6" x14ac:dyDescent="0.25">
      <c r="F309" s="1" t="str">
        <f t="shared" si="4"/>
        <v/>
      </c>
    </row>
    <row r="310" spans="6:6" x14ac:dyDescent="0.25">
      <c r="F310" s="1" t="str">
        <f t="shared" si="4"/>
        <v/>
      </c>
    </row>
    <row r="311" spans="6:6" x14ac:dyDescent="0.25">
      <c r="F311" s="1" t="str">
        <f t="shared" si="4"/>
        <v/>
      </c>
    </row>
    <row r="312" spans="6:6" x14ac:dyDescent="0.25">
      <c r="F312" s="1" t="str">
        <f t="shared" si="4"/>
        <v/>
      </c>
    </row>
    <row r="313" spans="6:6" x14ac:dyDescent="0.25">
      <c r="F313" s="1" t="str">
        <f t="shared" si="4"/>
        <v/>
      </c>
    </row>
    <row r="314" spans="6:6" x14ac:dyDescent="0.25">
      <c r="F314" s="1" t="str">
        <f t="shared" si="4"/>
        <v/>
      </c>
    </row>
    <row r="315" spans="6:6" x14ac:dyDescent="0.25">
      <c r="F315" s="1" t="str">
        <f t="shared" si="4"/>
        <v/>
      </c>
    </row>
    <row r="316" spans="6:6" x14ac:dyDescent="0.25">
      <c r="F316" s="1" t="str">
        <f t="shared" si="4"/>
        <v/>
      </c>
    </row>
    <row r="317" spans="6:6" x14ac:dyDescent="0.25">
      <c r="F317" s="1" t="str">
        <f t="shared" si="4"/>
        <v/>
      </c>
    </row>
    <row r="318" spans="6:6" x14ac:dyDescent="0.25">
      <c r="F318" s="1" t="str">
        <f t="shared" si="4"/>
        <v/>
      </c>
    </row>
    <row r="319" spans="6:6" x14ac:dyDescent="0.25">
      <c r="F319" s="1" t="str">
        <f t="shared" si="4"/>
        <v/>
      </c>
    </row>
    <row r="320" spans="6:6" x14ac:dyDescent="0.25">
      <c r="F320" s="1" t="str">
        <f t="shared" si="4"/>
        <v/>
      </c>
    </row>
    <row r="321" spans="6:6" x14ac:dyDescent="0.25">
      <c r="F321" s="1" t="str">
        <f t="shared" si="4"/>
        <v/>
      </c>
    </row>
    <row r="322" spans="6:6" x14ac:dyDescent="0.25">
      <c r="F322" s="1" t="str">
        <f t="shared" ref="F322:F385" si="5">IF(AND($C322="done",$D322&lt;&gt;"",$E322&lt;&gt;""),$E322-$D322,"")</f>
        <v/>
      </c>
    </row>
    <row r="323" spans="6:6" x14ac:dyDescent="0.25">
      <c r="F323" s="1" t="str">
        <f t="shared" si="5"/>
        <v/>
      </c>
    </row>
    <row r="324" spans="6:6" x14ac:dyDescent="0.25">
      <c r="F324" s="1" t="str">
        <f t="shared" si="5"/>
        <v/>
      </c>
    </row>
    <row r="325" spans="6:6" x14ac:dyDescent="0.25">
      <c r="F325" s="1" t="str">
        <f t="shared" si="5"/>
        <v/>
      </c>
    </row>
    <row r="326" spans="6:6" x14ac:dyDescent="0.25">
      <c r="F326" s="1" t="str">
        <f t="shared" si="5"/>
        <v/>
      </c>
    </row>
    <row r="327" spans="6:6" x14ac:dyDescent="0.25">
      <c r="F327" s="1" t="str">
        <f t="shared" si="5"/>
        <v/>
      </c>
    </row>
    <row r="328" spans="6:6" x14ac:dyDescent="0.25">
      <c r="F328" s="1" t="str">
        <f t="shared" si="5"/>
        <v/>
      </c>
    </row>
    <row r="329" spans="6:6" x14ac:dyDescent="0.25">
      <c r="F329" s="1" t="str">
        <f t="shared" si="5"/>
        <v/>
      </c>
    </row>
    <row r="330" spans="6:6" x14ac:dyDescent="0.25">
      <c r="F330" s="1" t="str">
        <f t="shared" si="5"/>
        <v/>
      </c>
    </row>
    <row r="331" spans="6:6" x14ac:dyDescent="0.25">
      <c r="F331" s="1" t="str">
        <f t="shared" si="5"/>
        <v/>
      </c>
    </row>
    <row r="332" spans="6:6" x14ac:dyDescent="0.25">
      <c r="F332" s="1" t="str">
        <f t="shared" si="5"/>
        <v/>
      </c>
    </row>
    <row r="333" spans="6:6" x14ac:dyDescent="0.25">
      <c r="F333" s="1" t="str">
        <f t="shared" si="5"/>
        <v/>
      </c>
    </row>
    <row r="334" spans="6:6" x14ac:dyDescent="0.25">
      <c r="F334" s="1" t="str">
        <f t="shared" si="5"/>
        <v/>
      </c>
    </row>
    <row r="335" spans="6:6" x14ac:dyDescent="0.25">
      <c r="F335" s="1" t="str">
        <f t="shared" si="5"/>
        <v/>
      </c>
    </row>
    <row r="336" spans="6:6" x14ac:dyDescent="0.25">
      <c r="F336" s="1" t="str">
        <f t="shared" si="5"/>
        <v/>
      </c>
    </row>
    <row r="337" spans="6:6" x14ac:dyDescent="0.25">
      <c r="F337" s="1" t="str">
        <f t="shared" si="5"/>
        <v/>
      </c>
    </row>
    <row r="338" spans="6:6" x14ac:dyDescent="0.25">
      <c r="F338" s="1" t="str">
        <f t="shared" si="5"/>
        <v/>
      </c>
    </row>
    <row r="339" spans="6:6" x14ac:dyDescent="0.25">
      <c r="F339" s="1" t="str">
        <f t="shared" si="5"/>
        <v/>
      </c>
    </row>
    <row r="340" spans="6:6" x14ac:dyDescent="0.25">
      <c r="F340" s="1" t="str">
        <f t="shared" si="5"/>
        <v/>
      </c>
    </row>
    <row r="341" spans="6:6" x14ac:dyDescent="0.25">
      <c r="F341" s="1" t="str">
        <f t="shared" si="5"/>
        <v/>
      </c>
    </row>
    <row r="342" spans="6:6" x14ac:dyDescent="0.25">
      <c r="F342" s="1" t="str">
        <f t="shared" si="5"/>
        <v/>
      </c>
    </row>
    <row r="343" spans="6:6" x14ac:dyDescent="0.25">
      <c r="F343" s="1" t="str">
        <f t="shared" si="5"/>
        <v/>
      </c>
    </row>
    <row r="344" spans="6:6" x14ac:dyDescent="0.25">
      <c r="F344" s="1" t="str">
        <f t="shared" si="5"/>
        <v/>
      </c>
    </row>
    <row r="345" spans="6:6" x14ac:dyDescent="0.25">
      <c r="F345" s="1" t="str">
        <f t="shared" si="5"/>
        <v/>
      </c>
    </row>
    <row r="346" spans="6:6" x14ac:dyDescent="0.25">
      <c r="F346" s="1" t="str">
        <f t="shared" si="5"/>
        <v/>
      </c>
    </row>
    <row r="347" spans="6:6" x14ac:dyDescent="0.25">
      <c r="F347" s="1" t="str">
        <f t="shared" si="5"/>
        <v/>
      </c>
    </row>
    <row r="348" spans="6:6" x14ac:dyDescent="0.25">
      <c r="F348" s="1" t="str">
        <f t="shared" si="5"/>
        <v/>
      </c>
    </row>
    <row r="349" spans="6:6" x14ac:dyDescent="0.25">
      <c r="F349" s="1" t="str">
        <f t="shared" si="5"/>
        <v/>
      </c>
    </row>
    <row r="350" spans="6:6" x14ac:dyDescent="0.25">
      <c r="F350" s="1" t="str">
        <f t="shared" si="5"/>
        <v/>
      </c>
    </row>
    <row r="351" spans="6:6" x14ac:dyDescent="0.25">
      <c r="F351" s="1" t="str">
        <f t="shared" si="5"/>
        <v/>
      </c>
    </row>
    <row r="352" spans="6:6" x14ac:dyDescent="0.25">
      <c r="F352" s="1" t="str">
        <f t="shared" si="5"/>
        <v/>
      </c>
    </row>
    <row r="353" spans="6:6" x14ac:dyDescent="0.25">
      <c r="F353" s="1" t="str">
        <f t="shared" si="5"/>
        <v/>
      </c>
    </row>
    <row r="354" spans="6:6" x14ac:dyDescent="0.25">
      <c r="F354" s="1" t="str">
        <f t="shared" si="5"/>
        <v/>
      </c>
    </row>
    <row r="355" spans="6:6" x14ac:dyDescent="0.25">
      <c r="F355" s="1" t="str">
        <f t="shared" si="5"/>
        <v/>
      </c>
    </row>
    <row r="356" spans="6:6" x14ac:dyDescent="0.25">
      <c r="F356" s="1" t="str">
        <f t="shared" si="5"/>
        <v/>
      </c>
    </row>
    <row r="357" spans="6:6" x14ac:dyDescent="0.25">
      <c r="F357" s="1" t="str">
        <f t="shared" si="5"/>
        <v/>
      </c>
    </row>
    <row r="358" spans="6:6" x14ac:dyDescent="0.25">
      <c r="F358" s="1" t="str">
        <f t="shared" si="5"/>
        <v/>
      </c>
    </row>
    <row r="359" spans="6:6" x14ac:dyDescent="0.25">
      <c r="F359" s="1" t="str">
        <f t="shared" si="5"/>
        <v/>
      </c>
    </row>
    <row r="360" spans="6:6" x14ac:dyDescent="0.25">
      <c r="F360" s="1" t="str">
        <f t="shared" si="5"/>
        <v/>
      </c>
    </row>
    <row r="361" spans="6:6" x14ac:dyDescent="0.25">
      <c r="F361" s="1" t="str">
        <f t="shared" si="5"/>
        <v/>
      </c>
    </row>
    <row r="362" spans="6:6" x14ac:dyDescent="0.25">
      <c r="F362" s="1" t="str">
        <f t="shared" si="5"/>
        <v/>
      </c>
    </row>
    <row r="363" spans="6:6" x14ac:dyDescent="0.25">
      <c r="F363" s="1" t="str">
        <f t="shared" si="5"/>
        <v/>
      </c>
    </row>
    <row r="364" spans="6:6" x14ac:dyDescent="0.25">
      <c r="F364" s="1" t="str">
        <f t="shared" si="5"/>
        <v/>
      </c>
    </row>
    <row r="365" spans="6:6" x14ac:dyDescent="0.25">
      <c r="F365" s="1" t="str">
        <f t="shared" si="5"/>
        <v/>
      </c>
    </row>
    <row r="366" spans="6:6" x14ac:dyDescent="0.25">
      <c r="F366" s="1" t="str">
        <f t="shared" si="5"/>
        <v/>
      </c>
    </row>
    <row r="367" spans="6:6" x14ac:dyDescent="0.25">
      <c r="F367" s="1" t="str">
        <f t="shared" si="5"/>
        <v/>
      </c>
    </row>
    <row r="368" spans="6:6" x14ac:dyDescent="0.25">
      <c r="F368" s="1" t="str">
        <f t="shared" si="5"/>
        <v/>
      </c>
    </row>
    <row r="369" spans="6:6" x14ac:dyDescent="0.25">
      <c r="F369" s="1" t="str">
        <f t="shared" si="5"/>
        <v/>
      </c>
    </row>
    <row r="370" spans="6:6" x14ac:dyDescent="0.25">
      <c r="F370" s="1" t="str">
        <f t="shared" si="5"/>
        <v/>
      </c>
    </row>
    <row r="371" spans="6:6" x14ac:dyDescent="0.25">
      <c r="F371" s="1" t="str">
        <f t="shared" si="5"/>
        <v/>
      </c>
    </row>
    <row r="372" spans="6:6" x14ac:dyDescent="0.25">
      <c r="F372" s="1" t="str">
        <f t="shared" si="5"/>
        <v/>
      </c>
    </row>
    <row r="373" spans="6:6" x14ac:dyDescent="0.25">
      <c r="F373" s="1" t="str">
        <f t="shared" si="5"/>
        <v/>
      </c>
    </row>
    <row r="374" spans="6:6" x14ac:dyDescent="0.25">
      <c r="F374" s="1" t="str">
        <f t="shared" si="5"/>
        <v/>
      </c>
    </row>
    <row r="375" spans="6:6" x14ac:dyDescent="0.25">
      <c r="F375" s="1" t="str">
        <f t="shared" si="5"/>
        <v/>
      </c>
    </row>
    <row r="376" spans="6:6" x14ac:dyDescent="0.25">
      <c r="F376" s="1" t="str">
        <f t="shared" si="5"/>
        <v/>
      </c>
    </row>
    <row r="377" spans="6:6" x14ac:dyDescent="0.25">
      <c r="F377" s="1" t="str">
        <f t="shared" si="5"/>
        <v/>
      </c>
    </row>
    <row r="378" spans="6:6" x14ac:dyDescent="0.25">
      <c r="F378" s="1" t="str">
        <f t="shared" si="5"/>
        <v/>
      </c>
    </row>
    <row r="379" spans="6:6" x14ac:dyDescent="0.25">
      <c r="F379" s="1" t="str">
        <f t="shared" si="5"/>
        <v/>
      </c>
    </row>
    <row r="380" spans="6:6" x14ac:dyDescent="0.25">
      <c r="F380" s="1" t="str">
        <f t="shared" si="5"/>
        <v/>
      </c>
    </row>
    <row r="381" spans="6:6" x14ac:dyDescent="0.25">
      <c r="F381" s="1" t="str">
        <f t="shared" si="5"/>
        <v/>
      </c>
    </row>
    <row r="382" spans="6:6" x14ac:dyDescent="0.25">
      <c r="F382" s="1" t="str">
        <f t="shared" si="5"/>
        <v/>
      </c>
    </row>
    <row r="383" spans="6:6" x14ac:dyDescent="0.25">
      <c r="F383" s="1" t="str">
        <f t="shared" si="5"/>
        <v/>
      </c>
    </row>
    <row r="384" spans="6:6" x14ac:dyDescent="0.25">
      <c r="F384" s="1" t="str">
        <f t="shared" si="5"/>
        <v/>
      </c>
    </row>
    <row r="385" spans="6:6" x14ac:dyDescent="0.25">
      <c r="F385" s="1" t="str">
        <f t="shared" si="5"/>
        <v/>
      </c>
    </row>
    <row r="386" spans="6:6" x14ac:dyDescent="0.25">
      <c r="F386" s="1" t="str">
        <f t="shared" ref="F386:F449" si="6">IF(AND($C386="done",$D386&lt;&gt;"",$E386&lt;&gt;""),$E386-$D386,"")</f>
        <v/>
      </c>
    </row>
    <row r="387" spans="6:6" x14ac:dyDescent="0.25">
      <c r="F387" s="1" t="str">
        <f t="shared" si="6"/>
        <v/>
      </c>
    </row>
    <row r="388" spans="6:6" x14ac:dyDescent="0.25">
      <c r="F388" s="1" t="str">
        <f t="shared" si="6"/>
        <v/>
      </c>
    </row>
    <row r="389" spans="6:6" x14ac:dyDescent="0.25">
      <c r="F389" s="1" t="str">
        <f t="shared" si="6"/>
        <v/>
      </c>
    </row>
    <row r="390" spans="6:6" x14ac:dyDescent="0.25">
      <c r="F390" s="1" t="str">
        <f t="shared" si="6"/>
        <v/>
      </c>
    </row>
    <row r="391" spans="6:6" x14ac:dyDescent="0.25">
      <c r="F391" s="1" t="str">
        <f t="shared" si="6"/>
        <v/>
      </c>
    </row>
    <row r="392" spans="6:6" x14ac:dyDescent="0.25">
      <c r="F392" s="1" t="str">
        <f t="shared" si="6"/>
        <v/>
      </c>
    </row>
    <row r="393" spans="6:6" x14ac:dyDescent="0.25">
      <c r="F393" s="1" t="str">
        <f t="shared" si="6"/>
        <v/>
      </c>
    </row>
    <row r="394" spans="6:6" x14ac:dyDescent="0.25">
      <c r="F394" s="1" t="str">
        <f t="shared" si="6"/>
        <v/>
      </c>
    </row>
    <row r="395" spans="6:6" x14ac:dyDescent="0.25">
      <c r="F395" s="1" t="str">
        <f t="shared" si="6"/>
        <v/>
      </c>
    </row>
    <row r="396" spans="6:6" x14ac:dyDescent="0.25">
      <c r="F396" s="1" t="str">
        <f t="shared" si="6"/>
        <v/>
      </c>
    </row>
    <row r="397" spans="6:6" x14ac:dyDescent="0.25">
      <c r="F397" s="1" t="str">
        <f t="shared" si="6"/>
        <v/>
      </c>
    </row>
    <row r="398" spans="6:6" x14ac:dyDescent="0.25">
      <c r="F398" s="1" t="str">
        <f t="shared" si="6"/>
        <v/>
      </c>
    </row>
    <row r="399" spans="6:6" x14ac:dyDescent="0.25">
      <c r="F399" s="1" t="str">
        <f t="shared" si="6"/>
        <v/>
      </c>
    </row>
    <row r="400" spans="6:6" x14ac:dyDescent="0.25">
      <c r="F400" s="1" t="str">
        <f t="shared" si="6"/>
        <v/>
      </c>
    </row>
    <row r="401" spans="6:6" x14ac:dyDescent="0.25">
      <c r="F401" s="1" t="str">
        <f t="shared" si="6"/>
        <v/>
      </c>
    </row>
    <row r="402" spans="6:6" x14ac:dyDescent="0.25">
      <c r="F402" s="1" t="str">
        <f t="shared" si="6"/>
        <v/>
      </c>
    </row>
    <row r="403" spans="6:6" x14ac:dyDescent="0.25">
      <c r="F403" s="1" t="str">
        <f t="shared" si="6"/>
        <v/>
      </c>
    </row>
    <row r="404" spans="6:6" x14ac:dyDescent="0.25">
      <c r="F404" s="1" t="str">
        <f t="shared" si="6"/>
        <v/>
      </c>
    </row>
    <row r="405" spans="6:6" x14ac:dyDescent="0.25">
      <c r="F405" s="1" t="str">
        <f t="shared" si="6"/>
        <v/>
      </c>
    </row>
    <row r="406" spans="6:6" x14ac:dyDescent="0.25">
      <c r="F406" s="1" t="str">
        <f t="shared" si="6"/>
        <v/>
      </c>
    </row>
    <row r="407" spans="6:6" x14ac:dyDescent="0.25">
      <c r="F407" s="1" t="str">
        <f t="shared" si="6"/>
        <v/>
      </c>
    </row>
    <row r="408" spans="6:6" x14ac:dyDescent="0.25">
      <c r="F408" s="1" t="str">
        <f t="shared" si="6"/>
        <v/>
      </c>
    </row>
    <row r="409" spans="6:6" x14ac:dyDescent="0.25">
      <c r="F409" s="1" t="str">
        <f t="shared" si="6"/>
        <v/>
      </c>
    </row>
    <row r="410" spans="6:6" x14ac:dyDescent="0.25">
      <c r="F410" s="1" t="str">
        <f t="shared" si="6"/>
        <v/>
      </c>
    </row>
    <row r="411" spans="6:6" x14ac:dyDescent="0.25">
      <c r="F411" s="1" t="str">
        <f t="shared" si="6"/>
        <v/>
      </c>
    </row>
    <row r="412" spans="6:6" x14ac:dyDescent="0.25">
      <c r="F412" s="1" t="str">
        <f t="shared" si="6"/>
        <v/>
      </c>
    </row>
    <row r="413" spans="6:6" x14ac:dyDescent="0.25">
      <c r="F413" s="1" t="str">
        <f t="shared" si="6"/>
        <v/>
      </c>
    </row>
    <row r="414" spans="6:6" x14ac:dyDescent="0.25">
      <c r="F414" s="1" t="str">
        <f t="shared" si="6"/>
        <v/>
      </c>
    </row>
    <row r="415" spans="6:6" x14ac:dyDescent="0.25">
      <c r="F415" s="1" t="str">
        <f t="shared" si="6"/>
        <v/>
      </c>
    </row>
    <row r="416" spans="6:6" x14ac:dyDescent="0.25">
      <c r="F416" s="1" t="str">
        <f t="shared" si="6"/>
        <v/>
      </c>
    </row>
    <row r="417" spans="6:6" x14ac:dyDescent="0.25">
      <c r="F417" s="1" t="str">
        <f t="shared" si="6"/>
        <v/>
      </c>
    </row>
    <row r="418" spans="6:6" x14ac:dyDescent="0.25">
      <c r="F418" s="1" t="str">
        <f t="shared" si="6"/>
        <v/>
      </c>
    </row>
    <row r="419" spans="6:6" x14ac:dyDescent="0.25">
      <c r="F419" s="1" t="str">
        <f t="shared" si="6"/>
        <v/>
      </c>
    </row>
    <row r="420" spans="6:6" x14ac:dyDescent="0.25">
      <c r="F420" s="1" t="str">
        <f t="shared" si="6"/>
        <v/>
      </c>
    </row>
    <row r="421" spans="6:6" x14ac:dyDescent="0.25">
      <c r="F421" s="1" t="str">
        <f t="shared" si="6"/>
        <v/>
      </c>
    </row>
    <row r="422" spans="6:6" x14ac:dyDescent="0.25">
      <c r="F422" s="1" t="str">
        <f t="shared" si="6"/>
        <v/>
      </c>
    </row>
    <row r="423" spans="6:6" x14ac:dyDescent="0.25">
      <c r="F423" s="1" t="str">
        <f t="shared" si="6"/>
        <v/>
      </c>
    </row>
    <row r="424" spans="6:6" x14ac:dyDescent="0.25">
      <c r="F424" s="1" t="str">
        <f t="shared" si="6"/>
        <v/>
      </c>
    </row>
    <row r="425" spans="6:6" x14ac:dyDescent="0.25">
      <c r="F425" s="1" t="str">
        <f t="shared" si="6"/>
        <v/>
      </c>
    </row>
    <row r="426" spans="6:6" x14ac:dyDescent="0.25">
      <c r="F426" s="1" t="str">
        <f t="shared" si="6"/>
        <v/>
      </c>
    </row>
    <row r="427" spans="6:6" x14ac:dyDescent="0.25">
      <c r="F427" s="1" t="str">
        <f t="shared" si="6"/>
        <v/>
      </c>
    </row>
    <row r="428" spans="6:6" x14ac:dyDescent="0.25">
      <c r="F428" s="1" t="str">
        <f t="shared" si="6"/>
        <v/>
      </c>
    </row>
    <row r="429" spans="6:6" x14ac:dyDescent="0.25">
      <c r="F429" s="1" t="str">
        <f t="shared" si="6"/>
        <v/>
      </c>
    </row>
    <row r="430" spans="6:6" x14ac:dyDescent="0.25">
      <c r="F430" s="1" t="str">
        <f t="shared" si="6"/>
        <v/>
      </c>
    </row>
    <row r="431" spans="6:6" x14ac:dyDescent="0.25">
      <c r="F431" s="1" t="str">
        <f t="shared" si="6"/>
        <v/>
      </c>
    </row>
    <row r="432" spans="6:6" x14ac:dyDescent="0.25">
      <c r="F432" s="1" t="str">
        <f t="shared" si="6"/>
        <v/>
      </c>
    </row>
    <row r="433" spans="6:6" x14ac:dyDescent="0.25">
      <c r="F433" s="1" t="str">
        <f t="shared" si="6"/>
        <v/>
      </c>
    </row>
    <row r="434" spans="6:6" x14ac:dyDescent="0.25">
      <c r="F434" s="1" t="str">
        <f t="shared" si="6"/>
        <v/>
      </c>
    </row>
    <row r="435" spans="6:6" x14ac:dyDescent="0.25">
      <c r="F435" s="1" t="str">
        <f t="shared" si="6"/>
        <v/>
      </c>
    </row>
    <row r="436" spans="6:6" x14ac:dyDescent="0.25">
      <c r="F436" s="1" t="str">
        <f t="shared" si="6"/>
        <v/>
      </c>
    </row>
    <row r="437" spans="6:6" x14ac:dyDescent="0.25">
      <c r="F437" s="1" t="str">
        <f t="shared" si="6"/>
        <v/>
      </c>
    </row>
    <row r="438" spans="6:6" x14ac:dyDescent="0.25">
      <c r="F438" s="1" t="str">
        <f t="shared" si="6"/>
        <v/>
      </c>
    </row>
    <row r="439" spans="6:6" x14ac:dyDescent="0.25">
      <c r="F439" s="1" t="str">
        <f t="shared" si="6"/>
        <v/>
      </c>
    </row>
    <row r="440" spans="6:6" x14ac:dyDescent="0.25">
      <c r="F440" s="1" t="str">
        <f t="shared" si="6"/>
        <v/>
      </c>
    </row>
    <row r="441" spans="6:6" x14ac:dyDescent="0.25">
      <c r="F441" s="1" t="str">
        <f t="shared" si="6"/>
        <v/>
      </c>
    </row>
    <row r="442" spans="6:6" x14ac:dyDescent="0.25">
      <c r="F442" s="1" t="str">
        <f t="shared" si="6"/>
        <v/>
      </c>
    </row>
    <row r="443" spans="6:6" x14ac:dyDescent="0.25">
      <c r="F443" s="1" t="str">
        <f t="shared" si="6"/>
        <v/>
      </c>
    </row>
    <row r="444" spans="6:6" x14ac:dyDescent="0.25">
      <c r="F444" s="1" t="str">
        <f t="shared" si="6"/>
        <v/>
      </c>
    </row>
    <row r="445" spans="6:6" x14ac:dyDescent="0.25">
      <c r="F445" s="1" t="str">
        <f t="shared" si="6"/>
        <v/>
      </c>
    </row>
    <row r="446" spans="6:6" x14ac:dyDescent="0.25">
      <c r="F446" s="1" t="str">
        <f t="shared" si="6"/>
        <v/>
      </c>
    </row>
    <row r="447" spans="6:6" x14ac:dyDescent="0.25">
      <c r="F447" s="1" t="str">
        <f t="shared" si="6"/>
        <v/>
      </c>
    </row>
    <row r="448" spans="6:6" x14ac:dyDescent="0.25">
      <c r="F448" s="1" t="str">
        <f t="shared" si="6"/>
        <v/>
      </c>
    </row>
    <row r="449" spans="6:6" x14ac:dyDescent="0.25">
      <c r="F449" s="1" t="str">
        <f t="shared" si="6"/>
        <v/>
      </c>
    </row>
    <row r="450" spans="6:6" x14ac:dyDescent="0.25">
      <c r="F450" s="1" t="str">
        <f t="shared" ref="F450:F501" si="7">IF(AND($C450="done",$D450&lt;&gt;"",$E450&lt;&gt;""),$E450-$D450,"")</f>
        <v/>
      </c>
    </row>
    <row r="451" spans="6:6" x14ac:dyDescent="0.25">
      <c r="F451" s="1" t="str">
        <f t="shared" si="7"/>
        <v/>
      </c>
    </row>
    <row r="452" spans="6:6" x14ac:dyDescent="0.25">
      <c r="F452" s="1" t="str">
        <f t="shared" si="7"/>
        <v/>
      </c>
    </row>
    <row r="453" spans="6:6" x14ac:dyDescent="0.25">
      <c r="F453" s="1" t="str">
        <f t="shared" si="7"/>
        <v/>
      </c>
    </row>
    <row r="454" spans="6:6" x14ac:dyDescent="0.25">
      <c r="F454" s="1" t="str">
        <f t="shared" si="7"/>
        <v/>
      </c>
    </row>
    <row r="455" spans="6:6" x14ac:dyDescent="0.25">
      <c r="F455" s="1" t="str">
        <f t="shared" si="7"/>
        <v/>
      </c>
    </row>
    <row r="456" spans="6:6" x14ac:dyDescent="0.25">
      <c r="F456" s="1" t="str">
        <f t="shared" si="7"/>
        <v/>
      </c>
    </row>
    <row r="457" spans="6:6" x14ac:dyDescent="0.25">
      <c r="F457" s="1" t="str">
        <f t="shared" si="7"/>
        <v/>
      </c>
    </row>
    <row r="458" spans="6:6" x14ac:dyDescent="0.25">
      <c r="F458" s="1" t="str">
        <f t="shared" si="7"/>
        <v/>
      </c>
    </row>
    <row r="459" spans="6:6" x14ac:dyDescent="0.25">
      <c r="F459" s="1" t="str">
        <f t="shared" si="7"/>
        <v/>
      </c>
    </row>
    <row r="460" spans="6:6" x14ac:dyDescent="0.25">
      <c r="F460" s="1" t="str">
        <f t="shared" si="7"/>
        <v/>
      </c>
    </row>
    <row r="461" spans="6:6" x14ac:dyDescent="0.25">
      <c r="F461" s="1" t="str">
        <f t="shared" si="7"/>
        <v/>
      </c>
    </row>
    <row r="462" spans="6:6" x14ac:dyDescent="0.25">
      <c r="F462" s="1" t="str">
        <f t="shared" si="7"/>
        <v/>
      </c>
    </row>
    <row r="463" spans="6:6" x14ac:dyDescent="0.25">
      <c r="F463" s="1" t="str">
        <f t="shared" si="7"/>
        <v/>
      </c>
    </row>
    <row r="464" spans="6:6" x14ac:dyDescent="0.25">
      <c r="F464" s="1" t="str">
        <f t="shared" si="7"/>
        <v/>
      </c>
    </row>
    <row r="465" spans="6:6" x14ac:dyDescent="0.25">
      <c r="F465" s="1" t="str">
        <f t="shared" si="7"/>
        <v/>
      </c>
    </row>
    <row r="466" spans="6:6" x14ac:dyDescent="0.25">
      <c r="F466" s="1" t="str">
        <f t="shared" si="7"/>
        <v/>
      </c>
    </row>
    <row r="467" spans="6:6" x14ac:dyDescent="0.25">
      <c r="F467" s="1" t="str">
        <f t="shared" si="7"/>
        <v/>
      </c>
    </row>
    <row r="468" spans="6:6" x14ac:dyDescent="0.25">
      <c r="F468" s="1" t="str">
        <f t="shared" si="7"/>
        <v/>
      </c>
    </row>
    <row r="469" spans="6:6" x14ac:dyDescent="0.25">
      <c r="F469" s="1" t="str">
        <f t="shared" si="7"/>
        <v/>
      </c>
    </row>
    <row r="470" spans="6:6" x14ac:dyDescent="0.25">
      <c r="F470" s="1" t="str">
        <f t="shared" si="7"/>
        <v/>
      </c>
    </row>
    <row r="471" spans="6:6" x14ac:dyDescent="0.25">
      <c r="F471" s="1" t="str">
        <f t="shared" si="7"/>
        <v/>
      </c>
    </row>
    <row r="472" spans="6:6" x14ac:dyDescent="0.25">
      <c r="F472" s="1" t="str">
        <f t="shared" si="7"/>
        <v/>
      </c>
    </row>
    <row r="473" spans="6:6" x14ac:dyDescent="0.25">
      <c r="F473" s="1" t="str">
        <f t="shared" si="7"/>
        <v/>
      </c>
    </row>
    <row r="474" spans="6:6" x14ac:dyDescent="0.25">
      <c r="F474" s="1" t="str">
        <f t="shared" si="7"/>
        <v/>
      </c>
    </row>
    <row r="475" spans="6:6" x14ac:dyDescent="0.25">
      <c r="F475" s="1" t="str">
        <f t="shared" si="7"/>
        <v/>
      </c>
    </row>
    <row r="476" spans="6:6" x14ac:dyDescent="0.25">
      <c r="F476" s="1" t="str">
        <f t="shared" si="7"/>
        <v/>
      </c>
    </row>
    <row r="477" spans="6:6" x14ac:dyDescent="0.25">
      <c r="F477" s="1" t="str">
        <f t="shared" si="7"/>
        <v/>
      </c>
    </row>
    <row r="478" spans="6:6" x14ac:dyDescent="0.25">
      <c r="F478" s="1" t="str">
        <f t="shared" si="7"/>
        <v/>
      </c>
    </row>
    <row r="479" spans="6:6" x14ac:dyDescent="0.25">
      <c r="F479" s="1" t="str">
        <f t="shared" si="7"/>
        <v/>
      </c>
    </row>
    <row r="480" spans="6:6" x14ac:dyDescent="0.25">
      <c r="F480" s="1" t="str">
        <f t="shared" si="7"/>
        <v/>
      </c>
    </row>
    <row r="481" spans="6:6" x14ac:dyDescent="0.25">
      <c r="F481" s="1" t="str">
        <f t="shared" si="7"/>
        <v/>
      </c>
    </row>
    <row r="482" spans="6:6" x14ac:dyDescent="0.25">
      <c r="F482" s="1" t="str">
        <f t="shared" si="7"/>
        <v/>
      </c>
    </row>
    <row r="483" spans="6:6" x14ac:dyDescent="0.25">
      <c r="F483" s="1" t="str">
        <f t="shared" si="7"/>
        <v/>
      </c>
    </row>
    <row r="484" spans="6:6" x14ac:dyDescent="0.25">
      <c r="F484" s="1" t="str">
        <f t="shared" si="7"/>
        <v/>
      </c>
    </row>
    <row r="485" spans="6:6" x14ac:dyDescent="0.25">
      <c r="F485" s="1" t="str">
        <f t="shared" si="7"/>
        <v/>
      </c>
    </row>
    <row r="486" spans="6:6" x14ac:dyDescent="0.25">
      <c r="F486" s="1" t="str">
        <f t="shared" si="7"/>
        <v/>
      </c>
    </row>
    <row r="487" spans="6:6" x14ac:dyDescent="0.25">
      <c r="F487" s="1" t="str">
        <f t="shared" si="7"/>
        <v/>
      </c>
    </row>
    <row r="488" spans="6:6" x14ac:dyDescent="0.25">
      <c r="F488" s="1" t="str">
        <f t="shared" si="7"/>
        <v/>
      </c>
    </row>
    <row r="489" spans="6:6" x14ac:dyDescent="0.25">
      <c r="F489" s="1" t="str">
        <f t="shared" si="7"/>
        <v/>
      </c>
    </row>
    <row r="490" spans="6:6" x14ac:dyDescent="0.25">
      <c r="F490" s="1" t="str">
        <f t="shared" si="7"/>
        <v/>
      </c>
    </row>
    <row r="491" spans="6:6" x14ac:dyDescent="0.25">
      <c r="F491" s="1" t="str">
        <f t="shared" si="7"/>
        <v/>
      </c>
    </row>
    <row r="492" spans="6:6" x14ac:dyDescent="0.25">
      <c r="F492" s="1" t="str">
        <f t="shared" si="7"/>
        <v/>
      </c>
    </row>
    <row r="493" spans="6:6" x14ac:dyDescent="0.25">
      <c r="F493" s="1" t="str">
        <f t="shared" si="7"/>
        <v/>
      </c>
    </row>
    <row r="494" spans="6:6" x14ac:dyDescent="0.25">
      <c r="F494" s="1" t="str">
        <f t="shared" si="7"/>
        <v/>
      </c>
    </row>
    <row r="495" spans="6:6" x14ac:dyDescent="0.25">
      <c r="F495" s="1" t="str">
        <f t="shared" si="7"/>
        <v/>
      </c>
    </row>
    <row r="496" spans="6:6" x14ac:dyDescent="0.25">
      <c r="F496" s="1" t="str">
        <f t="shared" si="7"/>
        <v/>
      </c>
    </row>
    <row r="497" spans="6:6" x14ac:dyDescent="0.25">
      <c r="F497" s="1" t="str">
        <f t="shared" si="7"/>
        <v/>
      </c>
    </row>
    <row r="498" spans="6:6" x14ac:dyDescent="0.25">
      <c r="F498" s="1" t="str">
        <f t="shared" si="7"/>
        <v/>
      </c>
    </row>
    <row r="499" spans="6:6" x14ac:dyDescent="0.25">
      <c r="F499" s="1" t="str">
        <f t="shared" si="7"/>
        <v/>
      </c>
    </row>
    <row r="500" spans="6:6" x14ac:dyDescent="0.25">
      <c r="F500" s="1" t="str">
        <f t="shared" si="7"/>
        <v/>
      </c>
    </row>
    <row r="501" spans="6:6" x14ac:dyDescent="0.25">
      <c r="F501" s="1" t="str">
        <f t="shared" si="7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showRowColHeaders="0" workbookViewId="0">
      <selection activeCell="B19" sqref="B19"/>
    </sheetView>
  </sheetViews>
  <sheetFormatPr baseColWidth="10" defaultColWidth="9.140625" defaultRowHeight="15" x14ac:dyDescent="0.25"/>
  <cols>
    <col min="1" max="1" width="32" customWidth="1"/>
    <col min="2" max="2" width="18" customWidth="1"/>
    <col min="3" max="3" width="55" customWidth="1"/>
  </cols>
  <sheetData>
    <row r="1" spans="1:6" ht="26.25" x14ac:dyDescent="0.25">
      <c r="A1" s="2" t="s">
        <v>6</v>
      </c>
      <c r="B1" s="3"/>
      <c r="C1" s="3"/>
      <c r="D1" s="3"/>
      <c r="E1" s="3"/>
      <c r="F1" s="3"/>
    </row>
    <row r="3" spans="1:6" x14ac:dyDescent="0.25">
      <c r="A3" s="76" t="s">
        <v>7</v>
      </c>
      <c r="B3" s="76" t="s">
        <v>8</v>
      </c>
      <c r="C3" s="76" t="s">
        <v>9</v>
      </c>
      <c r="D3" s="77"/>
      <c r="E3" s="78"/>
      <c r="F3" s="78"/>
    </row>
    <row r="4" spans="1:6" x14ac:dyDescent="0.25">
      <c r="A4" s="79" t="s">
        <v>10</v>
      </c>
      <c r="B4" s="80">
        <f>COUNTA(Datos!A2:A500)</f>
        <v>0</v>
      </c>
      <c r="C4" s="83" t="s">
        <v>11</v>
      </c>
    </row>
    <row r="5" spans="1:6" x14ac:dyDescent="0.25">
      <c r="A5" s="79" t="s">
        <v>12</v>
      </c>
      <c r="B5" s="80">
        <f>COUNTIF(Datos!C2:C500,"pending")</f>
        <v>0</v>
      </c>
      <c r="C5" s="83" t="s">
        <v>13</v>
      </c>
    </row>
    <row r="6" spans="1:6" x14ac:dyDescent="0.25">
      <c r="A6" s="79" t="s">
        <v>14</v>
      </c>
      <c r="B6" s="80">
        <f>COUNTIF(Datos!C2:C500,"in_process")</f>
        <v>0</v>
      </c>
      <c r="C6" s="83" t="s">
        <v>15</v>
      </c>
    </row>
    <row r="7" spans="1:6" x14ac:dyDescent="0.25">
      <c r="A7" s="79" t="s">
        <v>16</v>
      </c>
      <c r="B7" s="80">
        <f>COUNTIF(Datos!C2:C500,"done")</f>
        <v>0</v>
      </c>
      <c r="C7" s="83" t="s">
        <v>17</v>
      </c>
    </row>
    <row r="8" spans="1:6" x14ac:dyDescent="0.25">
      <c r="A8" s="79" t="s">
        <v>18</v>
      </c>
      <c r="B8" s="81">
        <f>IF(B4=0,0,B7/B4)</f>
        <v>0</v>
      </c>
      <c r="C8" s="83" t="s">
        <v>19</v>
      </c>
    </row>
    <row r="9" spans="1:6" x14ac:dyDescent="0.25">
      <c r="A9" s="79" t="s">
        <v>20</v>
      </c>
      <c r="B9" s="82">
        <f>IFERROR(AVERAGE(Datos!F2:F500),0)</f>
        <v>0</v>
      </c>
      <c r="C9" s="83" t="s">
        <v>21</v>
      </c>
    </row>
    <row r="11" spans="1:6" x14ac:dyDescent="0.25">
      <c r="A11" s="4" t="s">
        <v>22</v>
      </c>
      <c r="B11" s="3"/>
      <c r="C11" s="3"/>
    </row>
  </sheetData>
  <mergeCells count="2">
    <mergeCell ref="A1:F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39"/>
  <sheetViews>
    <sheetView showGridLines="0" showRowColHeaders="0" tabSelected="1" zoomScale="95" zoomScaleNormal="50" workbookViewId="0">
      <selection activeCell="T10" sqref="T10"/>
    </sheetView>
  </sheetViews>
  <sheetFormatPr baseColWidth="10" defaultColWidth="9.140625" defaultRowHeight="15" x14ac:dyDescent="0.25"/>
  <cols>
    <col min="1" max="1" width="3.140625" customWidth="1"/>
    <col min="2" max="2" width="29.85546875" bestFit="1" customWidth="1"/>
    <col min="3" max="3" width="5.7109375" bestFit="1" customWidth="1"/>
    <col min="4" max="4" width="34.85546875" bestFit="1" customWidth="1"/>
    <col min="5" max="5" width="11" hidden="1" customWidth="1"/>
    <col min="6" max="8" width="11" customWidth="1"/>
    <col min="9" max="9" width="5" customWidth="1"/>
    <col min="10" max="11" width="11" customWidth="1"/>
    <col min="12" max="12" width="8.28515625" customWidth="1"/>
    <col min="13" max="13" width="5" hidden="1" customWidth="1"/>
    <col min="14" max="14" width="11" customWidth="1"/>
    <col min="15" max="15" width="16.42578125" customWidth="1"/>
    <col min="16" max="16" width="9.140625" hidden="1" customWidth="1"/>
    <col min="17" max="17" width="3.5703125" hidden="1" customWidth="1"/>
    <col min="18" max="18" width="14" customWidth="1"/>
  </cols>
  <sheetData>
    <row r="1" spans="2:17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2:17" x14ac:dyDescent="0.25">
      <c r="B2" s="33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70"/>
      <c r="P2" s="35"/>
      <c r="Q2" s="36"/>
    </row>
    <row r="3" spans="2:17" x14ac:dyDescent="0.25"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69"/>
      <c r="P3" s="39"/>
      <c r="Q3" s="40"/>
    </row>
    <row r="4" spans="2:17" x14ac:dyDescent="0.25"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69"/>
      <c r="P4" s="39"/>
      <c r="Q4" s="40"/>
    </row>
    <row r="5" spans="2:17" x14ac:dyDescent="0.25">
      <c r="B5" s="41" t="s">
        <v>24</v>
      </c>
      <c r="C5" s="38"/>
      <c r="D5" s="38"/>
      <c r="E5" s="38"/>
      <c r="F5" s="38"/>
      <c r="G5" s="38"/>
      <c r="H5" s="38"/>
      <c r="I5" s="38"/>
      <c r="J5" s="38"/>
      <c r="K5" s="42" t="s">
        <v>25</v>
      </c>
      <c r="L5" s="38"/>
      <c r="M5" s="38"/>
      <c r="N5" s="38"/>
      <c r="O5" s="69"/>
      <c r="P5" s="39"/>
      <c r="Q5" s="40"/>
    </row>
    <row r="6" spans="2:17" x14ac:dyDescent="0.25"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68"/>
      <c r="P6" s="39"/>
      <c r="Q6" s="40"/>
    </row>
    <row r="7" spans="2:17" x14ac:dyDescent="0.25">
      <c r="B7" s="45" t="s">
        <v>10</v>
      </c>
      <c r="C7" s="26"/>
      <c r="D7" s="26"/>
      <c r="E7" s="27"/>
      <c r="F7" s="25" t="s">
        <v>12</v>
      </c>
      <c r="G7" s="26"/>
      <c r="H7" s="26"/>
      <c r="I7" s="27"/>
      <c r="J7" s="25" t="s">
        <v>14</v>
      </c>
      <c r="K7" s="26"/>
      <c r="L7" s="26"/>
      <c r="M7" s="27"/>
      <c r="N7" s="25" t="s">
        <v>16</v>
      </c>
      <c r="O7" s="26"/>
      <c r="P7" s="26"/>
      <c r="Q7" s="46"/>
    </row>
    <row r="8" spans="2:17" x14ac:dyDescent="0.25">
      <c r="B8" s="47">
        <f>Resumen!B4</f>
        <v>0</v>
      </c>
      <c r="C8" s="8"/>
      <c r="D8" s="8"/>
      <c r="E8" s="9"/>
      <c r="F8" s="13">
        <f>Resumen!B5</f>
        <v>0</v>
      </c>
      <c r="G8" s="14"/>
      <c r="H8" s="14"/>
      <c r="I8" s="15"/>
      <c r="J8" s="19">
        <f>Resumen!B6</f>
        <v>0</v>
      </c>
      <c r="K8" s="20"/>
      <c r="L8" s="20"/>
      <c r="M8" s="21"/>
      <c r="N8" s="28">
        <f>Resumen!B7</f>
        <v>0</v>
      </c>
      <c r="O8" s="29"/>
      <c r="P8" s="29"/>
      <c r="Q8" s="48"/>
    </row>
    <row r="9" spans="2:17" ht="15.75" thickBot="1" x14ac:dyDescent="0.3">
      <c r="B9" s="49"/>
      <c r="C9" s="11"/>
      <c r="D9" s="11"/>
      <c r="E9" s="12"/>
      <c r="F9" s="16"/>
      <c r="G9" s="17"/>
      <c r="H9" s="17"/>
      <c r="I9" s="18"/>
      <c r="J9" s="22"/>
      <c r="K9" s="23"/>
      <c r="L9" s="23"/>
      <c r="M9" s="24"/>
      <c r="N9" s="63"/>
      <c r="O9" s="64"/>
      <c r="P9" s="64"/>
      <c r="Q9" s="65"/>
    </row>
    <row r="10" spans="2:17" ht="15.75" thickBot="1" x14ac:dyDescent="0.3">
      <c r="B10" s="86" t="s">
        <v>26</v>
      </c>
      <c r="C10" s="87"/>
      <c r="D10" s="87"/>
      <c r="E10" s="88"/>
      <c r="F10" s="89" t="s">
        <v>27</v>
      </c>
      <c r="G10" s="87"/>
      <c r="H10" s="87"/>
      <c r="I10" s="88"/>
      <c r="J10" s="89" t="s">
        <v>15</v>
      </c>
      <c r="K10" s="87"/>
      <c r="L10" s="87"/>
      <c r="M10" s="87"/>
      <c r="N10" s="90" t="s">
        <v>28</v>
      </c>
      <c r="O10" s="91"/>
      <c r="P10" s="91"/>
      <c r="Q10" s="92"/>
    </row>
    <row r="11" spans="2:17" x14ac:dyDescent="0.25">
      <c r="B11" s="50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6"/>
      <c r="O11" s="66"/>
      <c r="P11" s="66"/>
      <c r="Q11" s="67"/>
    </row>
    <row r="12" spans="2:17" x14ac:dyDescent="0.25"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62"/>
      <c r="P12" s="39"/>
      <c r="Q12" s="40"/>
    </row>
    <row r="13" spans="2:17" x14ac:dyDescent="0.25"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61"/>
      <c r="P13" s="39"/>
      <c r="Q13" s="40"/>
    </row>
    <row r="14" spans="2:17" x14ac:dyDescent="0.25">
      <c r="B14" s="45" t="s">
        <v>18</v>
      </c>
      <c r="C14" s="26"/>
      <c r="D14" s="26"/>
      <c r="E14" s="27"/>
      <c r="F14" s="25" t="s">
        <v>20</v>
      </c>
      <c r="G14" s="26"/>
      <c r="H14" s="26"/>
      <c r="I14" s="27"/>
      <c r="J14" s="52"/>
      <c r="K14" s="52"/>
      <c r="L14" s="52"/>
      <c r="M14" s="52"/>
      <c r="N14" s="52"/>
      <c r="O14" s="61"/>
      <c r="P14" s="39"/>
      <c r="Q14" s="40"/>
    </row>
    <row r="15" spans="2:17" x14ac:dyDescent="0.25">
      <c r="B15" s="53">
        <f>Resumen!B8</f>
        <v>0</v>
      </c>
      <c r="C15" s="29"/>
      <c r="D15" s="29"/>
      <c r="E15" s="30"/>
      <c r="F15" s="7">
        <f>Resumen!B9</f>
        <v>0</v>
      </c>
      <c r="G15" s="8"/>
      <c r="H15" s="8"/>
      <c r="I15" s="9"/>
      <c r="J15" s="52"/>
      <c r="K15" s="52"/>
      <c r="L15" s="52"/>
      <c r="M15" s="52"/>
      <c r="N15" s="52"/>
      <c r="O15" s="61"/>
      <c r="P15" s="39"/>
      <c r="Q15" s="40"/>
    </row>
    <row r="16" spans="2:17" x14ac:dyDescent="0.25">
      <c r="B16" s="54"/>
      <c r="C16" s="31"/>
      <c r="D16" s="31"/>
      <c r="E16" s="32"/>
      <c r="F16" s="10"/>
      <c r="G16" s="11"/>
      <c r="H16" s="11"/>
      <c r="I16" s="12"/>
      <c r="J16" s="52"/>
      <c r="K16" s="52"/>
      <c r="L16" s="52"/>
      <c r="M16" s="52"/>
      <c r="N16" s="52"/>
      <c r="O16" s="61"/>
      <c r="P16" s="39"/>
      <c r="Q16" s="40"/>
    </row>
    <row r="17" spans="2:17" x14ac:dyDescent="0.25">
      <c r="B17" s="86" t="s">
        <v>29</v>
      </c>
      <c r="C17" s="87"/>
      <c r="D17" s="87"/>
      <c r="E17" s="88"/>
      <c r="F17" s="89" t="s">
        <v>30</v>
      </c>
      <c r="G17" s="87"/>
      <c r="H17" s="87"/>
      <c r="I17" s="88"/>
      <c r="J17" s="52"/>
      <c r="K17" s="52"/>
      <c r="L17" s="52"/>
      <c r="M17" s="52"/>
      <c r="N17" s="52"/>
      <c r="O17" s="61"/>
      <c r="P17" s="39"/>
      <c r="Q17" s="40"/>
    </row>
    <row r="18" spans="2:17" x14ac:dyDescent="0.25">
      <c r="B18" s="50"/>
      <c r="C18" s="6"/>
      <c r="D18" s="6"/>
      <c r="E18" s="6"/>
      <c r="F18" s="6"/>
      <c r="G18" s="6"/>
      <c r="H18" s="6"/>
      <c r="I18" s="6"/>
      <c r="J18" s="52"/>
      <c r="K18" s="52"/>
      <c r="L18" s="52"/>
      <c r="M18" s="52"/>
      <c r="N18" s="52"/>
      <c r="O18" s="61"/>
      <c r="P18" s="39"/>
      <c r="Q18" s="40"/>
    </row>
    <row r="19" spans="2:17" x14ac:dyDescent="0.25"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61"/>
      <c r="P19" s="39"/>
      <c r="Q19" s="40"/>
    </row>
    <row r="20" spans="2:17" x14ac:dyDescent="0.25"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61"/>
      <c r="P20" s="39"/>
      <c r="Q20" s="40"/>
    </row>
    <row r="21" spans="2:17" x14ac:dyDescent="0.25">
      <c r="B21" s="51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61"/>
      <c r="P21" s="39"/>
      <c r="Q21" s="40"/>
    </row>
    <row r="22" spans="2:17" ht="15.75" x14ac:dyDescent="0.25">
      <c r="B22" s="75" t="s">
        <v>31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61"/>
      <c r="P22" s="39"/>
      <c r="Q22" s="40"/>
    </row>
    <row r="23" spans="2:17" x14ac:dyDescent="0.25">
      <c r="B23" s="74" t="s">
        <v>7</v>
      </c>
      <c r="C23" s="74" t="s">
        <v>8</v>
      </c>
      <c r="D23" s="74" t="s">
        <v>9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61"/>
      <c r="P23" s="39"/>
      <c r="Q23" s="40"/>
    </row>
    <row r="24" spans="2:17" ht="18.75" x14ac:dyDescent="0.3">
      <c r="B24" s="55" t="str">
        <f>Resumen!A4</f>
        <v>Total tareas</v>
      </c>
      <c r="C24" s="84">
        <f>Resumen!B4</f>
        <v>0</v>
      </c>
      <c r="D24" s="71" t="str">
        <f>Resumen!C4</f>
        <v>Conteo de todas las tareas capturadas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61"/>
      <c r="P24" s="39"/>
      <c r="Q24" s="40"/>
    </row>
    <row r="25" spans="2:17" ht="18.75" x14ac:dyDescent="0.3">
      <c r="B25" s="55" t="str">
        <f>Resumen!A5</f>
        <v>Pendientes</v>
      </c>
      <c r="C25" s="84">
        <f>Resumen!B5</f>
        <v>0</v>
      </c>
      <c r="D25" s="71" t="str">
        <f>Resumen!C5</f>
        <v>Tareas que aún no han iniciado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61"/>
      <c r="P25" s="39"/>
      <c r="Q25" s="40"/>
    </row>
    <row r="26" spans="2:17" ht="18.75" x14ac:dyDescent="0.3">
      <c r="B26" s="55" t="str">
        <f>Resumen!A6</f>
        <v>En proceso</v>
      </c>
      <c r="C26" s="84">
        <f>Resumen!B6</f>
        <v>0</v>
      </c>
      <c r="D26" s="71" t="str">
        <f>Resumen!C6</f>
        <v>Tareas actualmente en ejecución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61"/>
      <c r="P26" s="39"/>
      <c r="Q26" s="40"/>
    </row>
    <row r="27" spans="2:17" ht="18.75" x14ac:dyDescent="0.3">
      <c r="B27" s="55" t="str">
        <f>Resumen!A7</f>
        <v>Realizadas</v>
      </c>
      <c r="C27" s="84">
        <f>Resumen!B7</f>
        <v>0</v>
      </c>
      <c r="D27" s="71" t="str">
        <f>Resumen!C7</f>
        <v>Tareas marcadas como 'done'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61"/>
      <c r="P27" s="39"/>
      <c r="Q27" s="40"/>
    </row>
    <row r="28" spans="2:17" ht="18.75" x14ac:dyDescent="0.3">
      <c r="B28" s="55" t="str">
        <f>Resumen!A8</f>
        <v>% Completadas</v>
      </c>
      <c r="C28" s="84">
        <f>Resumen!B8</f>
        <v>0</v>
      </c>
      <c r="D28" s="71" t="str">
        <f>Resumen!C8</f>
        <v>Porcentaje de realizadas sobre el total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61"/>
      <c r="P28" s="39"/>
      <c r="Q28" s="40"/>
    </row>
    <row r="29" spans="2:17" ht="18.75" x14ac:dyDescent="0.3">
      <c r="B29" s="72" t="str">
        <f>Resumen!A9</f>
        <v>Promedio días para completar</v>
      </c>
      <c r="C29" s="85">
        <f>Resumen!B9</f>
        <v>0</v>
      </c>
      <c r="D29" s="73" t="str">
        <f>Resumen!C9</f>
        <v>Tiempo medio desde creación hasta cierre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61"/>
      <c r="P29" s="39"/>
      <c r="Q29" s="40"/>
    </row>
    <row r="30" spans="2:17" x14ac:dyDescent="0.25"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61"/>
      <c r="P30" s="39"/>
      <c r="Q30" s="40"/>
    </row>
    <row r="31" spans="2:17" x14ac:dyDescent="0.25"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61"/>
      <c r="P31" s="39"/>
      <c r="Q31" s="40"/>
    </row>
    <row r="32" spans="2:17" x14ac:dyDescent="0.25"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61"/>
      <c r="P32" s="39"/>
      <c r="Q32" s="40"/>
    </row>
    <row r="33" spans="2:17" x14ac:dyDescent="0.25">
      <c r="B33" s="56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60"/>
      <c r="P33" s="58"/>
      <c r="Q33" s="59"/>
    </row>
    <row r="34" spans="2:17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2:17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2:17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2:17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2:17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2:17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</sheetData>
  <mergeCells count="21">
    <mergeCell ref="N10:Q10"/>
    <mergeCell ref="B14:E14"/>
    <mergeCell ref="B15:E16"/>
    <mergeCell ref="B17:E17"/>
    <mergeCell ref="F14:I14"/>
    <mergeCell ref="F15:I16"/>
    <mergeCell ref="F17:I17"/>
    <mergeCell ref="B10:E10"/>
    <mergeCell ref="F7:I7"/>
    <mergeCell ref="F8:I9"/>
    <mergeCell ref="F10:I10"/>
    <mergeCell ref="J7:M7"/>
    <mergeCell ref="J8:M9"/>
    <mergeCell ref="J10:M10"/>
    <mergeCell ref="B2:O4"/>
    <mergeCell ref="B5:J5"/>
    <mergeCell ref="K5:O5"/>
    <mergeCell ref="B7:E7"/>
    <mergeCell ref="B8:E9"/>
    <mergeCell ref="N7:Q7"/>
    <mergeCell ref="N8:Q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Resumen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2025-11-21T13:50:41Z</dcterms:created>
  <dcterms:modified xsi:type="dcterms:W3CDTF">2025-11-21T14:26:52Z</dcterms:modified>
</cp:coreProperties>
</file>